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증강_300" sheetId="1" state="visible" r:id="rId3"/>
    <sheet name="분포_요약" sheetId="2" state="visible" r:id="rId4"/>
    <sheet name="메타" sheetId="3" state="visible" r:id="rId5"/>
    <sheet name="보호셋_겹침" sheetId="4" state="visible" r:id="rId6"/>
    <sheet name="수정_이력" sheetId="5" state="visible" r:id="rId7"/>
    <sheet name="보강_필요" sheetId="6" state="visible" r:id="rId8"/>
  </sheets>
  <definedNames>
    <definedName function="false" hidden="true" localSheetId="3" name="_xlnm._FilterDatabase" vbProcedure="false">보호셋_겹침!$A$1:$J$64</definedName>
    <definedName function="false" hidden="true" localSheetId="0" name="_xlnm._FilterDatabase" vbProcedure="false">증강_300!$A$1:$W$301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1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이번 달 부산 초량동의 읍면동별 법인택시 통행량을 알려줘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초량동은 읍면동 단위라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Noto Sans CJK SC"/>
            <family val="2"/>
          </rPr>
          <t xml:space="preserve">초량동의 읍면동별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Noto Sans CJK SC"/>
            <family val="2"/>
          </rPr>
          <t xml:space="preserve">은 한 행짜리 퇴화 질문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같은 시의 시군구로 교체</t>
        </r>
      </text>
    </comment>
    <comment ref="C206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주말 오후 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Noto Sans CJK SC"/>
            <family val="2"/>
          </rPr>
          <t xml:space="preserve">시부터 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Noto Sans CJK SC"/>
            <family val="2"/>
          </rPr>
          <t xml:space="preserve">시까지 부산에 도착한 실차의 하차 건수가 많은 읍면동 상위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곳은</t>
        </r>
        <r>
          <rPr>
            <sz val="10"/>
            <rFont val="Arial"/>
            <family val="2"/>
          </rPr>
          <t xml:space="preserve">?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질문이 정답</t>
        </r>
        <r>
          <rPr>
            <sz val="10"/>
            <rFont val="Arial"/>
            <family val="2"/>
          </rPr>
          <t xml:space="preserve">·Factors(spatial_ref=</t>
        </r>
        <r>
          <rPr>
            <sz val="10"/>
            <rFont val="Noto Sans CJK SC"/>
            <family val="2"/>
          </rPr>
          <t xml:space="preserve">대구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수성구</t>
        </r>
        <r>
          <rPr>
            <sz val="10"/>
            <rFont val="Arial"/>
            <family val="2"/>
          </rPr>
          <t xml:space="preserve">|</t>
        </r>
        <r>
          <rPr>
            <sz val="10"/>
            <rFont val="Noto Sans CJK SC"/>
            <family val="2"/>
          </rPr>
          <t xml:space="preserve">부산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의 출발 조건을 빠뜨림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정답을 유지하고 질문에 출발지를 복원</t>
        </r>
        <r>
          <rPr>
            <sz val="10"/>
            <rFont val="Arial"/>
            <family val="2"/>
          </rPr>
          <t xml:space="preserve">(od_role pickup ≠ dimension_target dropoff </t>
        </r>
        <r>
          <rPr>
            <sz val="10"/>
            <rFont val="Noto Sans CJK SC"/>
            <family val="2"/>
          </rPr>
          <t xml:space="preserve">문항이 됨</t>
        </r>
        <r>
          <rPr>
            <sz val="10"/>
            <rFont val="Arial"/>
            <family val="2"/>
          </rPr>
          <t xml:space="preserve">)</t>
        </r>
      </text>
    </comment>
    <comment ref="C207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주중 오전 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Noto Sans CJK SC"/>
            <family val="2"/>
          </rPr>
          <t xml:space="preserve">시 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Noto Sans CJK SC"/>
            <family val="2"/>
          </rPr>
          <t xml:space="preserve">분부터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시까지 대구에서 승차 건수가 적은 읍면동 하위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곳은</t>
        </r>
        <r>
          <rPr>
            <sz val="10"/>
            <rFont val="Arial"/>
            <family val="2"/>
          </rPr>
          <t xml:space="preserve">?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질문이 정답</t>
        </r>
        <r>
          <rPr>
            <sz val="10"/>
            <rFont val="Arial"/>
            <family val="2"/>
          </rPr>
          <t xml:space="preserve">·Factors(spatial_ref=</t>
        </r>
        <r>
          <rPr>
            <sz val="10"/>
            <rFont val="Noto Sans CJK SC"/>
            <family val="2"/>
          </rPr>
          <t xml:space="preserve">대구</t>
        </r>
        <r>
          <rPr>
            <sz val="10"/>
            <rFont val="Arial"/>
            <family val="2"/>
          </rPr>
          <t xml:space="preserve">|</t>
        </r>
        <r>
          <rPr>
            <sz val="10"/>
            <rFont val="Noto Sans CJK SC"/>
            <family val="2"/>
          </rPr>
          <t xml:space="preserve">부산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수영구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의 도착 조건을 빠뜨림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정답을 유지하고 질문에 도착지를 복원</t>
        </r>
        <r>
          <rPr>
            <sz val="10"/>
            <rFont val="Arial"/>
            <family val="2"/>
          </rPr>
          <t xml:space="preserve">(od_role dropoff ≠ dimension_target pickup </t>
        </r>
        <r>
          <rPr>
            <sz val="10"/>
            <rFont val="Noto Sans CJK SC"/>
            <family val="2"/>
          </rPr>
          <t xml:space="preserve">문항이 됨</t>
        </r>
        <r>
          <rPr>
            <sz val="10"/>
            <rFont val="Arial"/>
            <family val="2"/>
          </rPr>
          <t xml:space="preserve">)</t>
        </r>
      </text>
    </comment>
    <comment ref="F31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get_place_scope(name=</t>
        </r>
        <r>
          <rPr>
            <sz val="10"/>
            <rFont val="Noto Sans CJK SC"/>
            <family val="2"/>
          </rPr>
          <t xml:space="preserve">초량동</t>
        </r>
        <r>
          <rPr>
            <sz val="10"/>
            <rFont val="Arial"/>
            <family val="2"/>
          </rPr>
          <t xml:space="preserve">, region=</t>
        </r>
        <r>
          <rPr>
            <sz val="10"/>
            <rFont val="Noto Sans CJK SC"/>
            <family val="2"/>
          </rPr>
          <t xml:space="preserve">부산</t>
        </r>
        <r>
          <rPr>
            <sz val="10"/>
            <rFont val="Arial"/>
            <family val="2"/>
          </rPr>
          <t xml:space="preserve">)
get_passage_count(scope=$resolve.scope, date=this_month, taxi_type=corporate, dimension=emd)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130 </t>
        </r>
        <r>
          <rPr>
            <sz val="10"/>
            <rFont val="Noto Sans CJK SC"/>
            <family val="2"/>
          </rPr>
          <t xml:space="preserve">질문 수정에 맞춤</t>
        </r>
      </text>
    </comment>
    <comment ref="I272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73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74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75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76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77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78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79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80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81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82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83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84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85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86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87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88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89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medium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90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complex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91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complex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92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complex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93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complex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94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complex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95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complex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96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complex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97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complex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98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complex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299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complex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300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complex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I301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complex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SCOPE_NAME</t>
        </r>
        <r>
          <rPr>
            <sz val="10"/>
            <rFont val="Noto Sans CJK SC"/>
            <family val="2"/>
          </rPr>
          <t xml:space="preserve">은 모두 </t>
        </r>
        <r>
          <rPr>
            <sz val="10"/>
            <rFont val="Arial"/>
            <family val="2"/>
          </rPr>
          <t xml:space="preserve">get_scope_name </t>
        </r>
        <r>
          <rPr>
            <sz val="10"/>
            <rFont val="Noto Sans CJK SC"/>
            <family val="2"/>
          </rPr>
          <t xml:space="preserve">한 번 호출로 같은 구조</t>
        </r>
        <r>
          <rPr>
            <sz val="10"/>
            <rFont val="Arial"/>
            <family val="2"/>
          </rPr>
          <t xml:space="preserve">. medium·complex </t>
        </r>
        <r>
          <rPr>
            <sz val="10"/>
            <rFont val="Noto Sans CJK SC"/>
            <family val="2"/>
          </rPr>
          <t xml:space="preserve">표시는 근거 없음</t>
        </r>
      </text>
    </comment>
    <comment ref="J31" authorId="0">
      <text>
        <r>
          <rPr>
            <sz val="10"/>
            <rFont val="Noto Sans CJK SC"/>
            <family val="2"/>
          </rPr>
          <t xml:space="preserve">수정 전</t>
        </r>
        <r>
          <rPr>
            <sz val="10"/>
            <rFont val="Arial"/>
            <family val="2"/>
          </rPr>
          <t xml:space="preserve">: spatial_ref=</t>
        </r>
        <r>
          <rPr>
            <sz val="10"/>
            <rFont val="Noto Sans CJK SC"/>
            <family val="2"/>
          </rPr>
          <t xml:space="preserve">부산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초량동</t>
        </r>
        <r>
          <rPr>
            <sz val="10"/>
            <rFont val="Arial"/>
            <family val="2"/>
          </rPr>
          <t xml:space="preserve">; space=admin; date=this_month; taxi_type=corporate; group_by=emd
</t>
        </r>
        <r>
          <rPr>
            <sz val="10"/>
            <rFont val="Noto Sans CJK SC"/>
            <family val="2"/>
          </rPr>
          <t xml:space="preserve">사유</t>
        </r>
        <r>
          <rPr>
            <sz val="10"/>
            <rFont val="Arial"/>
            <family val="2"/>
          </rPr>
          <t xml:space="preserve">: 130 </t>
        </r>
        <r>
          <rPr>
            <sz val="10"/>
            <rFont val="Noto Sans CJK SC"/>
            <family val="2"/>
          </rPr>
          <t xml:space="preserve">질문 수정에 맞춤</t>
        </r>
      </text>
    </comment>
  </commentList>
</comments>
</file>

<file path=xl/sharedStrings.xml><?xml version="1.0" encoding="utf-8"?>
<sst xmlns="http://schemas.openxmlformats.org/spreadsheetml/2006/main" count="5697" uniqueCount="2078">
  <si>
    <t xml:space="preserve">순번</t>
  </si>
  <si>
    <r>
      <rPr>
        <b val="true"/>
        <sz val="11"/>
        <color rgb="FFFFFFFF"/>
        <rFont val="Noto Sans CJK SC"/>
        <family val="2"/>
      </rPr>
      <t xml:space="preserve">질문 </t>
    </r>
    <r>
      <rPr>
        <b val="true"/>
        <sz val="11"/>
        <color rgb="FFFFFFFF"/>
        <rFont val="맑은 고딕"/>
        <family val="2"/>
        <charset val="129"/>
      </rPr>
      <t xml:space="preserve">ID</t>
    </r>
  </si>
  <si>
    <t xml:space="preserve">질문</t>
  </si>
  <si>
    <r>
      <rPr>
        <b val="true"/>
        <sz val="11"/>
        <color rgb="FFFFFFFF"/>
        <rFont val="맑은 고딕"/>
        <family val="2"/>
        <charset val="129"/>
      </rPr>
      <t xml:space="preserve">Tool </t>
    </r>
    <r>
      <rPr>
        <b val="true"/>
        <sz val="11"/>
        <color rgb="FFFFFFFF"/>
        <rFont val="Noto Sans CJK SC"/>
        <family val="2"/>
      </rPr>
      <t xml:space="preserve">선택 결과</t>
    </r>
  </si>
  <si>
    <t xml:space="preserve">판정</t>
  </si>
  <si>
    <r>
      <rPr>
        <b val="true"/>
        <sz val="11"/>
        <color rgb="FFFFFFFF"/>
        <rFont val="Noto Sans CJK SC"/>
        <family val="2"/>
      </rPr>
      <t xml:space="preserve">정답 </t>
    </r>
    <r>
      <rPr>
        <b val="true"/>
        <sz val="11"/>
        <color rgb="FFFFFFFF"/>
        <rFont val="맑은 고딕"/>
        <family val="2"/>
        <charset val="129"/>
      </rPr>
      <t xml:space="preserve">Tool</t>
    </r>
  </si>
  <si>
    <t xml:space="preserve">비고</t>
  </si>
  <si>
    <t xml:space="preserve">Semantic Type</t>
  </si>
  <si>
    <t xml:space="preserve">난이도</t>
  </si>
  <si>
    <t xml:space="preserve">Factors</t>
  </si>
  <si>
    <t xml:space="preserve">실행 방식</t>
  </si>
  <si>
    <t xml:space="preserve">수정 이력</t>
  </si>
  <si>
    <t xml:space="preserve">canonical_id</t>
  </si>
  <si>
    <t xml:space="preserve">family_id</t>
  </si>
  <si>
    <t xml:space="preserve">risk_tags</t>
  </si>
  <si>
    <r>
      <rPr>
        <b val="true"/>
        <sz val="11"/>
        <color rgb="FFFFFFFF"/>
        <rFont val="맑은 고딕"/>
        <family val="2"/>
        <charset val="129"/>
      </rPr>
      <t xml:space="preserve">vendor100 </t>
    </r>
    <r>
      <rPr>
        <b val="true"/>
        <sz val="11"/>
        <color rgb="FFFFFFFF"/>
        <rFont val="Noto Sans CJK SC"/>
        <family val="2"/>
      </rPr>
      <t xml:space="preserve">최근접 </t>
    </r>
    <r>
      <rPr>
        <b val="true"/>
        <sz val="11"/>
        <color rgb="FFFFFFFF"/>
        <rFont val="맑은 고딕"/>
        <family val="2"/>
        <charset val="129"/>
      </rPr>
      <t xml:space="preserve">ID</t>
    </r>
  </si>
  <si>
    <t xml:space="preserve">vendor100 Jaccard</t>
  </si>
  <si>
    <r>
      <rPr>
        <b val="true"/>
        <sz val="11"/>
        <color rgb="FFFFFFFF"/>
        <rFont val="맑은 고딕"/>
        <family val="2"/>
        <charset val="129"/>
      </rPr>
      <t xml:space="preserve">vendor100 </t>
    </r>
    <r>
      <rPr>
        <b val="true"/>
        <sz val="11"/>
        <color rgb="FFFFFFFF"/>
        <rFont val="Noto Sans CJK SC"/>
        <family val="2"/>
      </rPr>
      <t xml:space="preserve">동일 정답</t>
    </r>
  </si>
  <si>
    <r>
      <rPr>
        <b val="true"/>
        <sz val="11"/>
        <color rgb="FFFFFFFF"/>
        <rFont val="맑은 고딕"/>
        <family val="2"/>
        <charset val="129"/>
      </rPr>
      <t xml:space="preserve">vendor100 template </t>
    </r>
    <r>
      <rPr>
        <b val="true"/>
        <sz val="11"/>
        <color rgb="FFFFFFFF"/>
        <rFont val="Noto Sans CJK SC"/>
        <family val="2"/>
      </rPr>
      <t xml:space="preserve">겹침</t>
    </r>
  </si>
  <si>
    <t xml:space="preserve">기타 보호셋 최근접</t>
  </si>
  <si>
    <r>
      <rPr>
        <b val="true"/>
        <sz val="11"/>
        <color rgb="FFFFFFFF"/>
        <rFont val="Noto Sans CJK SC"/>
        <family val="2"/>
      </rPr>
      <t xml:space="preserve">기타 보호셋 </t>
    </r>
    <r>
      <rPr>
        <b val="true"/>
        <sz val="11"/>
        <color rgb="FFFFFFFF"/>
        <rFont val="맑은 고딕"/>
        <family val="2"/>
        <charset val="129"/>
      </rPr>
      <t xml:space="preserve">Jaccard</t>
    </r>
  </si>
  <si>
    <r>
      <rPr>
        <b val="true"/>
        <sz val="11"/>
        <color rgb="FFFFFFFF"/>
        <rFont val="Noto Sans CJK SC"/>
        <family val="2"/>
      </rPr>
      <t xml:space="preserve">사용 상태</t>
    </r>
    <r>
      <rPr>
        <b val="true"/>
        <sz val="11"/>
        <color rgb="FFFFFFFF"/>
        <rFont val="맑은 고딕"/>
        <family val="2"/>
        <charset val="129"/>
      </rPr>
      <t xml:space="preserve">(</t>
    </r>
    <r>
      <rPr>
        <b val="true"/>
        <sz val="11"/>
        <color rgb="FFFFFFFF"/>
        <rFont val="Noto Sans CJK SC"/>
        <family val="2"/>
      </rPr>
      <t xml:space="preserve">제안</t>
    </r>
    <r>
      <rPr>
        <b val="true"/>
        <sz val="11"/>
        <color rgb="FFFFFFFF"/>
        <rFont val="맑은 고딕"/>
        <family val="2"/>
        <charset val="129"/>
      </rPr>
      <t xml:space="preserve">)</t>
    </r>
  </si>
  <si>
    <t xml:space="preserve">상태 사유</t>
  </si>
  <si>
    <t xml:space="preserve">101</t>
  </si>
  <si>
    <r>
      <rPr>
        <sz val="11"/>
        <color theme="1"/>
        <rFont val="Noto Sans CJK SC"/>
        <family val="2"/>
      </rPr>
      <t xml:space="preserve">대구 중구의 택시 통행량은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</si>
  <si>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get_passage_count(scope=$resolve.scope)</t>
    </r>
  </si>
  <si>
    <r>
      <rPr>
        <sz val="11"/>
        <color theme="1"/>
        <rFont val="맑은 고딕"/>
        <family val="0"/>
        <charset val="1"/>
      </rPr>
      <t xml:space="preserve">DATA_AUGMENTATION_GUIDE </t>
    </r>
    <r>
      <rPr>
        <sz val="11"/>
        <color theme="1"/>
        <rFont val="Noto Sans CJK SC"/>
        <family val="2"/>
      </rPr>
      <t xml:space="preserve">기준 의미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조건 조합 증강</t>
    </r>
  </si>
  <si>
    <t xml:space="preserve">PASSAGE_COUNT</t>
  </si>
  <si>
    <t xml:space="preserve">simple</t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</si>
  <si>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; space=admin</t>
    </r>
  </si>
  <si>
    <t xml:space="preserve">admin</t>
  </si>
  <si>
    <t xml:space="preserve">aug300-101</t>
  </si>
  <si>
    <t xml:space="preserve">F064</t>
  </si>
  <si>
    <t xml:space="preserve">agg_absent</t>
  </si>
  <si>
    <t xml:space="preserve">018</t>
  </si>
  <si>
    <t xml:space="preserve">Y</t>
  </si>
  <si>
    <t xml:space="preserve">selection_v2 old44/g37</t>
  </si>
  <si>
    <t xml:space="preserve">train</t>
  </si>
  <si>
    <r>
      <rPr>
        <sz val="11"/>
        <color theme="1"/>
        <rFont val="맑은 고딕"/>
        <family val="0"/>
        <charset val="1"/>
      </rPr>
      <t xml:space="preserve">family </t>
    </r>
    <r>
      <rPr>
        <sz val="11"/>
        <color theme="1"/>
        <rFont val="Noto Sans CJK SC"/>
        <family val="2"/>
      </rPr>
      <t xml:space="preserve">단위 분할</t>
    </r>
    <r>
      <rPr>
        <sz val="11"/>
        <color theme="1"/>
        <rFont val="맑은 고딕"/>
        <family val="0"/>
        <charset val="1"/>
      </rPr>
      <t xml:space="preserve">(train family)</t>
    </r>
  </si>
  <si>
    <t xml:space="preserve">102</t>
  </si>
  <si>
    <r>
      <rPr>
        <sz val="11"/>
        <color theme="1"/>
        <rFont val="Noto Sans CJK SC"/>
        <family val="2"/>
      </rPr>
      <t xml:space="preserve">동대구역에서 택시가 얼마나 통행했어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</si>
  <si>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맑은 고딕"/>
        <family val="0"/>
        <charset val="1"/>
      </rPr>
      <t xml:space="preserve">)
get_passage_count(scope=$resolve.scope)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</si>
  <si>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맑은 고딕"/>
        <family val="0"/>
        <charset val="1"/>
      </rPr>
      <t xml:space="preserve">; space=place</t>
    </r>
  </si>
  <si>
    <t xml:space="preserve">place</t>
  </si>
  <si>
    <t xml:space="preserve">aug300-102</t>
  </si>
  <si>
    <t xml:space="preserve">F051</t>
  </si>
  <si>
    <t xml:space="preserve">N</t>
  </si>
  <si>
    <t xml:space="preserve">valid98 heldout_v9/h01</t>
  </si>
  <si>
    <t xml:space="preserve">103</t>
  </si>
  <si>
    <r>
      <rPr>
        <sz val="11"/>
        <color theme="1"/>
        <rFont val="맑은 고딕"/>
        <family val="0"/>
        <charset val="1"/>
      </rPr>
      <t xml:space="preserve">scope:h3:8830e1d85ffffff </t>
    </r>
    <r>
      <rPr>
        <sz val="11"/>
        <color theme="1"/>
        <rFont val="Noto Sans CJK SC"/>
        <family val="2"/>
      </rPr>
      <t xml:space="preserve">기준 택시 통행 건수를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</si>
  <si>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get_passage_count(scope=scope:h3:8830e1d85ffffff)</t>
  </si>
  <si>
    <t xml:space="preserve">spatial_ref=scope:h3:8830e1d85ffffff; space=direct_scope</t>
  </si>
  <si>
    <t xml:space="preserve">direct_scope</t>
  </si>
  <si>
    <t xml:space="preserve">aug300-103</t>
  </si>
  <si>
    <t xml:space="preserve">F043</t>
  </si>
  <si>
    <t xml:space="preserve">agg_absent, direct_scope</t>
  </si>
  <si>
    <t xml:space="preserve">082</t>
  </si>
  <si>
    <t xml:space="preserve">selection_v2 indepv3/m28</t>
  </si>
  <si>
    <t xml:space="preserve">holdout</t>
  </si>
  <si>
    <r>
      <rPr>
        <sz val="11"/>
        <color theme="1"/>
        <rFont val="맑은 고딕"/>
        <family val="0"/>
        <charset val="1"/>
      </rPr>
      <t xml:space="preserve">family </t>
    </r>
    <r>
      <rPr>
        <sz val="11"/>
        <color theme="1"/>
        <rFont val="Noto Sans CJK SC"/>
        <family val="2"/>
      </rPr>
      <t xml:space="preserve">단위 분할</t>
    </r>
    <r>
      <rPr>
        <sz val="11"/>
        <color theme="1"/>
        <rFont val="맑은 고딕"/>
        <family val="0"/>
        <charset val="1"/>
      </rPr>
      <t xml:space="preserve">(holdout family)</t>
    </r>
  </si>
  <si>
    <t xml:space="preserve">104</t>
  </si>
  <si>
    <r>
      <rPr>
        <sz val="11"/>
        <color theme="1"/>
        <rFont val="Noto Sans CJK SC"/>
        <family val="2"/>
      </rPr>
      <t xml:space="preserve">부산 광안리 주변의 택시 통행량을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</si>
  <si>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, include_vicinity=true)
get_passage_count(scope=$resolve.scope)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</si>
  <si>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맑은 고딕"/>
        <family val="0"/>
        <charset val="1"/>
      </rPr>
      <t xml:space="preserve">(vicinity); space=vicinity</t>
    </r>
  </si>
  <si>
    <t xml:space="preserve">vicinity</t>
  </si>
  <si>
    <t xml:space="preserve">aug300-104</t>
  </si>
  <si>
    <t xml:space="preserve">F047</t>
  </si>
  <si>
    <t xml:space="preserve">vicinity, agg_absent</t>
  </si>
  <si>
    <t xml:space="preserve">034</t>
  </si>
  <si>
    <t xml:space="preserve">valid98 heldout_v9/h26</t>
  </si>
  <si>
    <t xml:space="preserve">105</t>
  </si>
  <si>
    <r>
      <rPr>
        <sz val="11"/>
        <color theme="1"/>
        <rFont val="Noto Sans CJK SC"/>
        <family val="2"/>
      </rPr>
      <t xml:space="preserve">대구 신천동의 공차 택시 통행량은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</si>
  <si>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taxi_status=vacant)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</si>
  <si>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맑은 고딕"/>
        <family val="0"/>
        <charset val="1"/>
      </rPr>
      <t xml:space="preserve">; space=admin; taxi_status=vacant</t>
    </r>
  </si>
  <si>
    <t xml:space="preserve">aug300-105</t>
  </si>
  <si>
    <t xml:space="preserve">F062</t>
  </si>
  <si>
    <t xml:space="preserve">status_vacant, agg_absent</t>
  </si>
  <si>
    <t xml:space="preserve">019</t>
  </si>
  <si>
    <r>
      <rPr>
        <sz val="11"/>
        <color theme="1"/>
        <rFont val="Noto Sans CJK SC"/>
        <family val="2"/>
      </rPr>
      <t xml:space="preserve">보류</t>
    </r>
    <r>
      <rPr>
        <sz val="11"/>
        <color theme="1"/>
        <rFont val="맑은 고딕"/>
        <family val="0"/>
        <charset val="1"/>
      </rPr>
      <t xml:space="preserve">_vendor100</t>
    </r>
  </si>
  <si>
    <r>
      <rPr>
        <sz val="11"/>
        <color theme="1"/>
        <rFont val="맑은 고딕"/>
        <family val="0"/>
        <charset val="1"/>
      </rPr>
      <t xml:space="preserve">vendor100 019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0.812.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</si>
  <si>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106</t>
  </si>
  <si>
    <r>
      <rPr>
        <sz val="11"/>
        <color theme="1"/>
        <rFont val="Noto Sans CJK SC"/>
        <family val="2"/>
      </rPr>
      <t xml:space="preserve">부산 광안동에서 법인택시가 얼마나 통행했어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</si>
  <si>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get_passage_count(scope=$resolve.scope, taxi_type=corporate)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</si>
  <si>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맑은 고딕"/>
        <family val="0"/>
        <charset val="1"/>
      </rPr>
      <t xml:space="preserve">; space=admin; taxi_type=corporate</t>
    </r>
  </si>
  <si>
    <t xml:space="preserve">aug300-106</t>
  </si>
  <si>
    <t xml:space="preserve">F063</t>
  </si>
  <si>
    <t xml:space="preserve">023</t>
  </si>
  <si>
    <t xml:space="preserve">selection_v2 indepv2/n08</t>
  </si>
  <si>
    <t xml:space="preserve">107</t>
  </si>
  <si>
    <r>
      <rPr>
        <sz val="11"/>
        <color theme="1"/>
        <rFont val="Noto Sans CJK SC"/>
        <family val="2"/>
      </rPr>
      <t xml:space="preserve">대구 두산동 기준 개인택시 통행 건수를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</si>
  <si>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두산동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taxi_type=private)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</si>
  <si>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두산동</t>
    </r>
    <r>
      <rPr>
        <sz val="11"/>
        <color theme="1"/>
        <rFont val="맑은 고딕"/>
        <family val="0"/>
        <charset val="1"/>
      </rPr>
      <t xml:space="preserve">; space=admin; taxi_type=private</t>
    </r>
  </si>
  <si>
    <t xml:space="preserve">aug300-107</t>
  </si>
  <si>
    <t xml:space="preserve">060</t>
  </si>
  <si>
    <t xml:space="preserve">108</t>
  </si>
  <si>
    <r>
      <rPr>
        <sz val="11"/>
        <color theme="1"/>
        <rFont val="Noto Sans CJK SC"/>
        <family val="2"/>
      </rPr>
      <t xml:space="preserve">이번 달 </t>
    </r>
    <r>
      <rPr>
        <sz val="11"/>
        <color theme="1"/>
        <rFont val="맑은 고딕"/>
        <family val="0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의 택시 통행량을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</si>
  <si>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get_passage_count(scope=scope:district:2600000000, date=this_month)</t>
  </si>
  <si>
    <t xml:space="preserve">spatial_ref=scope:district:2600000000; space=direct_scope; date=this_month</t>
  </si>
  <si>
    <t xml:space="preserve">aug300-108</t>
  </si>
  <si>
    <t xml:space="preserve">F041</t>
  </si>
  <si>
    <t xml:space="preserve">088</t>
  </si>
  <si>
    <t xml:space="preserve">valid98 heldout_v9/h36</t>
  </si>
  <si>
    <r>
      <rPr>
        <sz val="11"/>
        <color theme="1"/>
        <rFont val="맑은 고딕"/>
        <family val="0"/>
        <charset val="1"/>
      </rPr>
      <t xml:space="preserve">vendor100 088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0.625.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</si>
  <si>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109</t>
  </si>
  <si>
    <r>
      <rPr>
        <sz val="11"/>
        <color theme="1"/>
        <rFont val="Noto Sans CJK SC"/>
        <family val="2"/>
      </rPr>
      <t xml:space="preserve">이번 주 대구 동성로의 택시 통행량은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</si>
  <si>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date=this_week)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</si>
  <si>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맑은 고딕"/>
        <family val="0"/>
        <charset val="1"/>
      </rPr>
      <t xml:space="preserve">; space=place; date=this_week</t>
    </r>
  </si>
  <si>
    <t xml:space="preserve">aug300-109</t>
  </si>
  <si>
    <t xml:space="preserve">F060</t>
  </si>
  <si>
    <t xml:space="preserve">110</t>
  </si>
  <si>
    <r>
      <rPr>
        <sz val="11"/>
        <color theme="1"/>
        <rFont val="Noto Sans CJK SC"/>
        <family val="2"/>
      </rPr>
      <t xml:space="preserve">부산 초읍동 어린이대공원 주변에서 실차 택시가 얼마나 통행했어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</si>
  <si>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맑은 고딕"/>
        <family val="0"/>
        <charset val="1"/>
      </rPr>
      <t xml:space="preserve">, include_vicinity=true)
get_passage_count(scope=$resolve.scope, taxi_status=occupied)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</si>
  <si>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맑은 고딕"/>
        <family val="0"/>
        <charset val="1"/>
      </rPr>
      <t xml:space="preserve">(vicinity); space=vicinity; taxi_status=occupied</t>
    </r>
  </si>
  <si>
    <t xml:space="preserve">aug300-110</t>
  </si>
  <si>
    <t xml:space="preserve">F046</t>
  </si>
  <si>
    <t xml:space="preserve">occupied_passage, vicinity, agg_absent</t>
  </si>
  <si>
    <t xml:space="preserve">074</t>
  </si>
  <si>
    <t xml:space="preserve">selection_v2 indepv2/n33</t>
  </si>
  <si>
    <t xml:space="preserve">111</t>
  </si>
  <si>
    <r>
      <rPr>
        <sz val="11"/>
        <color theme="1"/>
        <rFont val="Noto Sans CJK SC"/>
        <family val="2"/>
      </rPr>
      <t xml:space="preserve">대구 달서구의 읍면동별 택시 통행량을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</si>
  <si>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dimension=emd)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</si>
  <si>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group_by=emd</t>
    </r>
  </si>
  <si>
    <t xml:space="preserve">aug300-111</t>
  </si>
  <si>
    <t xml:space="preserve">F061</t>
  </si>
  <si>
    <t xml:space="preserve">agg_absent, group_by</t>
  </si>
  <si>
    <t xml:space="preserve">112</t>
  </si>
  <si>
    <r>
      <rPr>
        <sz val="11"/>
        <color theme="1"/>
        <rFont val="맑은 고딕"/>
        <family val="0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의 시군구별 택시 통행량을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</si>
  <si>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get_passage_count(scope=scope:district:2700000000, dimension=sigungu)</t>
  </si>
  <si>
    <t xml:space="preserve">spatial_ref=scope:district:2700000000; space=direct_scope; group_by=sigungu</t>
  </si>
  <si>
    <t xml:space="preserve">aug300-112</t>
  </si>
  <si>
    <t xml:space="preserve">F042</t>
  </si>
  <si>
    <t xml:space="preserve">agg_absent, group_by, direct_scope</t>
  </si>
  <si>
    <t xml:space="preserve">042</t>
  </si>
  <si>
    <r>
      <rPr>
        <sz val="11"/>
        <color theme="1"/>
        <rFont val="맑은 고딕"/>
        <family val="0"/>
        <charset val="1"/>
      </rPr>
      <t xml:space="preserve">vendor100 042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0.524.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</si>
  <si>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113</t>
  </si>
  <si>
    <r>
      <rPr>
        <sz val="11"/>
        <color theme="1"/>
        <rFont val="Noto Sans CJK SC"/>
        <family val="2"/>
      </rPr>
      <t xml:space="preserve">대구 수성구의 </t>
    </r>
    <r>
      <rPr>
        <sz val="11"/>
        <color theme="1"/>
        <rFont val="맑은 고딕"/>
        <family val="0"/>
        <charset val="1"/>
      </rPr>
      <t xml:space="preserve">H3 </t>
    </r>
    <r>
      <rPr>
        <sz val="11"/>
        <color theme="1"/>
        <rFont val="Noto Sans CJK SC"/>
        <family val="2"/>
      </rPr>
      <t xml:space="preserve">셀별 택시 통행량을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</si>
  <si>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dimension=h3)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</si>
  <si>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group_by=h3</t>
    </r>
  </si>
  <si>
    <t xml:space="preserve">aug300-113</t>
  </si>
  <si>
    <t xml:space="preserve">114</t>
  </si>
  <si>
    <r>
      <rPr>
        <sz val="11"/>
        <color theme="1"/>
        <rFont val="Noto Sans CJK SC"/>
        <family val="2"/>
      </rPr>
      <t xml:space="preserve">주말 대구 두류동의 개인 대기영업 택시 통행량은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</si>
  <si>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두류동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date=weekend, taxi_type=private, taxi_status=stationary)</t>
    </r>
  </si>
  <si>
    <t xml:space="preserve">medium</t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</si>
  <si>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두류동</t>
    </r>
    <r>
      <rPr>
        <sz val="11"/>
        <color theme="1"/>
        <rFont val="맑은 고딕"/>
        <family val="0"/>
        <charset val="1"/>
      </rPr>
      <t xml:space="preserve">; space=admin; date=weekend; taxi_type=private; taxi_status=stationary</t>
    </r>
  </si>
  <si>
    <t xml:space="preserve">aug300-114</t>
  </si>
  <si>
    <t xml:space="preserve">F058</t>
  </si>
  <si>
    <t xml:space="preserve">status_stationary, agg_absent</t>
  </si>
  <si>
    <t xml:space="preserve">055</t>
  </si>
  <si>
    <t xml:space="preserve">selection_v2 old44/g03</t>
  </si>
  <si>
    <r>
      <rPr>
        <sz val="11"/>
        <color theme="1"/>
        <rFont val="맑은 고딕"/>
        <family val="0"/>
        <charset val="1"/>
      </rPr>
      <t xml:space="preserve">vendor100 055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0.810.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</si>
  <si>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115</t>
  </si>
  <si>
    <r>
      <rPr>
        <sz val="11"/>
        <color theme="1"/>
        <rFont val="Noto Sans CJK SC"/>
        <family val="2"/>
      </rPr>
      <t xml:space="preserve">주중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부산 초읍동에서 개인 공차 택시가 얼마나 통행했어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</si>
  <si>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초읍동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get_passage_count(scope=$resolve.scope, date=weekday, time=083000-100000, taxi_type=private, taxi_status=vacant)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</si>
  <si>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초읍동</t>
    </r>
    <r>
      <rPr>
        <sz val="11"/>
        <color theme="1"/>
        <rFont val="맑은 고딕"/>
        <family val="0"/>
        <charset val="1"/>
      </rPr>
      <t xml:space="preserve">; space=admin; date=weekday; time=083000-100000; taxi_type=private; taxi_status=vacant</t>
    </r>
  </si>
  <si>
    <t xml:space="preserve">aug300-115</t>
  </si>
  <si>
    <t xml:space="preserve">F057</t>
  </si>
  <si>
    <t xml:space="preserve">072</t>
  </si>
  <si>
    <t xml:space="preserve">selection_v2 old44/g39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</si>
  <si>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vendor100 072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</si>
  <si>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116</t>
  </si>
  <si>
    <r>
      <rPr>
        <sz val="11"/>
        <color theme="1"/>
        <rFont val="Noto Sans CJK SC"/>
        <family val="2"/>
      </rPr>
      <t xml:space="preserve">지난달 부산 광안리 기준 법인 실차 택시 통행 건수를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</si>
  <si>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get_passage_count(scope=$resolve.scope, date=last_month, taxi_type=corporate, taxi_status=occupied)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</si>
  <si>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맑은 고딕"/>
        <family val="0"/>
        <charset val="1"/>
      </rPr>
      <t xml:space="preserve">; space=place; date=last_month; taxi_type=corporate; taxi_status=occupied</t>
    </r>
  </si>
  <si>
    <t xml:space="preserve">aug300-116</t>
  </si>
  <si>
    <t xml:space="preserve">occupied_passage, agg_absent</t>
  </si>
  <si>
    <t xml:space="preserve">054</t>
  </si>
  <si>
    <t xml:space="preserve">valid98 heldout_v9/h05</t>
  </si>
  <si>
    <t xml:space="preserve">117</t>
  </si>
  <si>
    <r>
      <rPr>
        <sz val="11"/>
        <color theme="1"/>
        <rFont val="Noto Sans CJK SC"/>
        <family val="2"/>
      </rPr>
      <t xml:space="preserve">지난주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scope:district:2726000000</t>
    </r>
    <r>
      <rPr>
        <sz val="11"/>
        <color theme="1"/>
        <rFont val="Noto Sans CJK SC"/>
        <family val="2"/>
      </rPr>
      <t xml:space="preserve">의 공차 택시 통행량을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</si>
  <si>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get_passage_count(scope=scope:district:2726000000, date=last_week, time=180000-200000, taxi_status=vacant)</t>
  </si>
  <si>
    <t xml:space="preserve">spatial_ref=scope:district:2726000000; space=direct_scope; date=last_week; time=180000-200000; taxi_status=vacant</t>
  </si>
  <si>
    <t xml:space="preserve">aug300-117</t>
  </si>
  <si>
    <t xml:space="preserve">F039</t>
  </si>
  <si>
    <t xml:space="preserve">status_vacant, agg_absent, direct_scope</t>
  </si>
  <si>
    <t xml:space="preserve">118</t>
  </si>
  <si>
    <r>
      <rPr>
        <sz val="11"/>
        <color theme="1"/>
        <rFont val="Noto Sans CJK SC"/>
        <family val="2"/>
      </rPr>
      <t xml:space="preserve">휴일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동대구역 주변의 법인택시 통행량은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</si>
  <si>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맑은 고딕"/>
        <family val="0"/>
        <charset val="1"/>
      </rPr>
      <t xml:space="preserve">, include_vicinity=true)
get_passage_count(scope=$resolve.scope, date=holiday, time=180000-200000, taxi_type=corporate)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</si>
  <si>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맑은 고딕"/>
        <family val="0"/>
        <charset val="1"/>
      </rPr>
      <t xml:space="preserve">(vicinity); space=vicinity; date=holiday; time=180000-200000; taxi_type=corporate</t>
    </r>
  </si>
  <si>
    <t xml:space="preserve">aug300-118</t>
  </si>
  <si>
    <t xml:space="preserve">001</t>
  </si>
  <si>
    <t xml:space="preserve">aux_test_v1 final_v12/f31</t>
  </si>
  <si>
    <t xml:space="preserve">119</t>
  </si>
  <si>
    <r>
      <rPr>
        <sz val="11"/>
        <color theme="1"/>
        <rFont val="Noto Sans CJK SC"/>
        <family val="2"/>
      </rPr>
      <t xml:space="preserve">이번 주 대구 중심지 주변에서 실차 택시가 얼마나 통행했어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</si>
  <si>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, include_vicinity=true)
get_passage_count(scope=$resolve.scope, date=this_week, taxi_status=occupied)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</si>
  <si>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맑은 고딕"/>
        <family val="0"/>
        <charset val="1"/>
      </rPr>
      <t xml:space="preserve">(vicinity); space=vicinity; date=this_week; taxi_status=occupied</t>
    </r>
  </si>
  <si>
    <t xml:space="preserve">aug300-119</t>
  </si>
  <si>
    <t xml:space="preserve">F045</t>
  </si>
  <si>
    <t xml:space="preserve">058</t>
  </si>
  <si>
    <t xml:space="preserve">selection_v2 contrast/c03d</t>
  </si>
  <si>
    <t xml:space="preserve">120</t>
  </si>
  <si>
    <r>
      <rPr>
        <sz val="11"/>
        <color theme="1"/>
        <rFont val="Noto Sans CJK SC"/>
        <family val="2"/>
      </rPr>
      <t xml:space="preserve">지난주 대구 중구의 읍면동별 공차 택시 통행량을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</si>
  <si>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date=last_week, taxi_status=vacant, dimension=emd)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</si>
  <si>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; space=admin; date=last_week; taxi_status=vacant; group_by=emd</t>
    </r>
  </si>
  <si>
    <t xml:space="preserve">aug300-120</t>
  </si>
  <si>
    <t xml:space="preserve">F055</t>
  </si>
  <si>
    <t xml:space="preserve">status_vacant, agg_absent, group_by</t>
  </si>
  <si>
    <t xml:space="preserve">080</t>
  </si>
  <si>
    <t xml:space="preserve">selection_v2 old44/g06</t>
  </si>
  <si>
    <t xml:space="preserve">121</t>
  </si>
  <si>
    <r>
      <rPr>
        <sz val="11"/>
        <color theme="1"/>
        <rFont val="Noto Sans CJK SC"/>
        <family val="2"/>
      </rPr>
      <t xml:space="preserve">이번 주 부산의 시군구별 법인택시 통행량을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</si>
  <si>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get_passage_count(scope=$resolve.scope, date=this_week, taxi_type=corporate, dimension=sigungu)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</si>
  <si>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date=this_week; taxi_type=corporate; group_by=sigungu</t>
    </r>
  </si>
  <si>
    <t xml:space="preserve">aug300-121</t>
  </si>
  <si>
    <t xml:space="preserve">F050</t>
  </si>
  <si>
    <t xml:space="preserve">002</t>
  </si>
  <si>
    <t xml:space="preserve">122</t>
  </si>
  <si>
    <r>
      <rPr>
        <sz val="11"/>
        <color theme="1"/>
        <rFont val="Noto Sans CJK SC"/>
        <family val="2"/>
      </rPr>
      <t xml:space="preserve">주말 대구 달서구의 읍면동별 개인택시 통행량을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</si>
  <si>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date=weekend, taxi_type=private, dimension=emd)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</si>
  <si>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date=weekend; taxi_type=private; group_by=emd</t>
    </r>
  </si>
  <si>
    <t xml:space="preserve">aug300-122</t>
  </si>
  <si>
    <t xml:space="preserve">F056</t>
  </si>
  <si>
    <t xml:space="preserve">123</t>
  </si>
  <si>
    <r>
      <rPr>
        <sz val="11"/>
        <color theme="1"/>
        <rFont val="Noto Sans CJK SC"/>
        <family val="2"/>
      </rPr>
      <t xml:space="preserve">이번 달 </t>
    </r>
    <r>
      <rPr>
        <sz val="11"/>
        <color theme="1"/>
        <rFont val="맑은 고딕"/>
        <family val="0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의 읍면동별 실차 택시 통행량을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</si>
  <si>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get_passage_count(scope=scope:district:2600000000, date=this_month, taxi_status=occupied, dimension=emd)</t>
  </si>
  <si>
    <t xml:space="preserve">spatial_ref=scope:district:2600000000; space=direct_scope; date=this_month; taxi_status=occupied; group_by=emd</t>
  </si>
  <si>
    <t xml:space="preserve">aug300-123</t>
  </si>
  <si>
    <t xml:space="preserve">F038</t>
  </si>
  <si>
    <t xml:space="preserve">occupied_passage, agg_absent, group_by, direct_scope</t>
  </si>
  <si>
    <r>
      <rPr>
        <sz val="11"/>
        <color theme="1"/>
        <rFont val="맑은 고딕"/>
        <family val="0"/>
        <charset val="1"/>
      </rPr>
      <t xml:space="preserve">vendor100 088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0.614.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</si>
  <si>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124</t>
  </si>
  <si>
    <r>
      <rPr>
        <sz val="11"/>
        <color theme="1"/>
        <rFont val="Noto Sans CJK SC"/>
        <family val="2"/>
      </rPr>
      <t xml:space="preserve">지난달 대구 수성구의 </t>
    </r>
    <r>
      <rPr>
        <sz val="11"/>
        <color theme="1"/>
        <rFont val="맑은 고딕"/>
        <family val="0"/>
        <charset val="1"/>
      </rPr>
      <t xml:space="preserve">H3 </t>
    </r>
    <r>
      <rPr>
        <sz val="11"/>
        <color theme="1"/>
        <rFont val="Noto Sans CJK SC"/>
        <family val="2"/>
      </rPr>
      <t xml:space="preserve">셀별 법인택시 통행량을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</si>
  <si>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date=last_month, taxi_type=corporate, dimension=h3)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</si>
  <si>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date=last_month; taxi_type=corporate; group_by=h3</t>
    </r>
  </si>
  <si>
    <t xml:space="preserve">aug300-124</t>
  </si>
  <si>
    <t xml:space="preserve">037</t>
  </si>
  <si>
    <t xml:space="preserve">125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</si>
  <si>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광안동의 실차 택시 통행량을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</si>
  <si>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get_passage_count(scope=$resolve.scope, date=20260602, time=180000-200000, taxi_status=occupied)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</si>
  <si>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맑은 고딕"/>
        <family val="0"/>
        <charset val="1"/>
      </rPr>
      <t xml:space="preserve">; space=admin; date=20260602; time=180000-200000; taxi_status=occupied</t>
    </r>
  </si>
  <si>
    <t xml:space="preserve">aug300-125</t>
  </si>
  <si>
    <t xml:space="preserve">F059</t>
  </si>
  <si>
    <t xml:space="preserve">selection_v2 old44/g18</t>
  </si>
  <si>
    <t xml:space="preserve">126</t>
  </si>
  <si>
    <r>
      <rPr>
        <sz val="11"/>
        <color theme="1"/>
        <rFont val="Noto Sans CJK SC"/>
        <family val="2"/>
      </rPr>
      <t xml:space="preserve">지난주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대구 동인동의 공차 택시 통행량은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</si>
  <si>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동인동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date=last_week, time=070000-090000, taxi_status=vacant)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</si>
  <si>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동인동</t>
    </r>
    <r>
      <rPr>
        <sz val="11"/>
        <color theme="1"/>
        <rFont val="맑은 고딕"/>
        <family val="0"/>
        <charset val="1"/>
      </rPr>
      <t xml:space="preserve">; space=admin; date=last_week; time=070000-090000; taxi_status=vacant</t>
    </r>
  </si>
  <si>
    <t xml:space="preserve">aug300-126</t>
  </si>
  <si>
    <t xml:space="preserve">056</t>
  </si>
  <si>
    <t xml:space="preserve">127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</si>
  <si>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scope:h3:8830e1d87ffffff</t>
    </r>
    <r>
      <rPr>
        <sz val="11"/>
        <color theme="1"/>
        <rFont val="Noto Sans CJK SC"/>
        <family val="2"/>
      </rPr>
      <t xml:space="preserve">에서 개인택시가 얼마나 통행했어</t>
    </r>
    <r>
      <rPr>
        <sz val="11"/>
        <color theme="1"/>
        <rFont val="맑은 고딕"/>
        <family val="0"/>
        <charset val="1"/>
      </rPr>
      <t xml:space="preserve">?</t>
    </r>
  </si>
  <si>
    <t xml:space="preserve">get_passage_count(scope=scope:h3:8830e1d87ffffff, date=weekend, time=070000-090000, taxi_type=private)</t>
  </si>
  <si>
    <t xml:space="preserve">spatial_ref=scope:h3:8830e1d87ffffff; space=direct_scope; date=weekend; time=070000-090000; taxi_type=private</t>
  </si>
  <si>
    <t xml:space="preserve">aug300-127</t>
  </si>
  <si>
    <t xml:space="preserve">F040</t>
  </si>
  <si>
    <t xml:space="preserve">051</t>
  </si>
  <si>
    <t xml:space="preserve">128</t>
  </si>
  <si>
    <r>
      <rPr>
        <sz val="11"/>
        <color theme="1"/>
        <rFont val="Noto Sans CJK SC"/>
        <family val="2"/>
      </rPr>
      <t xml:space="preserve">지난주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초읍동 어린이대공원 주변 기준 실차 택시 통행 건수를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</si>
  <si>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맑은 고딕"/>
        <family val="0"/>
        <charset val="1"/>
      </rPr>
      <t xml:space="preserve">, include_vicinity=true)
get_passage_count(scope=$resolve.scope, date=last_week, time=180000-200000, taxi_status=occupied)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</si>
  <si>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맑은 고딕"/>
        <family val="0"/>
        <charset val="1"/>
      </rPr>
      <t xml:space="preserve">(vicinity); space=vicinity; date=last_week; time=180000-200000; taxi_status=occupied</t>
    </r>
  </si>
  <si>
    <t xml:space="preserve">aug300-128</t>
  </si>
  <si>
    <t xml:space="preserve">F044</t>
  </si>
  <si>
    <t xml:space="preserve">064</t>
  </si>
  <si>
    <t xml:space="preserve">129</t>
  </si>
  <si>
    <r>
      <rPr>
        <sz val="11"/>
        <color theme="1"/>
        <rFont val="Noto Sans CJK SC"/>
        <family val="2"/>
      </rPr>
      <t xml:space="preserve">이번 주 대구 서구의 법인 공차 택시 통행량을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</si>
  <si>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date=this_week, taxi_type=corporate, taxi_status=vacant)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</si>
  <si>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서구</t>
    </r>
    <r>
      <rPr>
        <sz val="11"/>
        <color theme="1"/>
        <rFont val="맑은 고딕"/>
        <family val="0"/>
        <charset val="1"/>
      </rPr>
      <t xml:space="preserve">; space=admin; date=this_week; taxi_type=corporate; taxi_status=vacant</t>
    </r>
  </si>
  <si>
    <t xml:space="preserve">aug300-129</t>
  </si>
  <si>
    <t xml:space="preserve">130</t>
  </si>
  <si>
    <r>
      <rPr>
        <sz val="11"/>
        <color theme="1"/>
        <rFont val="Noto Sans CJK SC"/>
        <family val="2"/>
      </rPr>
      <t xml:space="preserve">이번 달 부산 부산진구의 읍면동별 법인택시 통행량을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</si>
  <si>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get_passage_count(scope=$resolve.scope, date=this_month, taxi_type=corporate, dimension=emd)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</si>
  <si>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; space=admin; date=this_month; taxi_type=corporate; group_by=emd</t>
    </r>
  </si>
  <si>
    <r>
      <rPr>
        <sz val="11"/>
        <color theme="1"/>
        <rFont val="맑은 고딕"/>
        <family val="0"/>
        <charset val="1"/>
      </rPr>
      <t xml:space="preserve">Factors / </t>
    </r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/ </t>
    </r>
    <r>
      <rPr>
        <sz val="11"/>
        <color theme="1"/>
        <rFont val="Noto Sans CJK SC"/>
        <family val="2"/>
      </rPr>
      <t xml:space="preserve">질문 수정</t>
    </r>
    <r>
      <rPr>
        <sz val="11"/>
        <color theme="1"/>
        <rFont val="맑은 고딕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셀 메모 참고</t>
    </r>
    <r>
      <rPr>
        <sz val="11"/>
        <color theme="1"/>
        <rFont val="맑은 고딕"/>
        <family val="0"/>
        <charset val="1"/>
      </rPr>
      <t xml:space="preserve">)</t>
    </r>
  </si>
  <si>
    <t xml:space="preserve">aug300-130</t>
  </si>
  <si>
    <t xml:space="preserve">079</t>
  </si>
  <si>
    <t xml:space="preserve">131</t>
  </si>
  <si>
    <r>
      <rPr>
        <sz val="11"/>
        <color theme="1"/>
        <rFont val="Noto Sans CJK SC"/>
        <family val="2"/>
      </rPr>
      <t xml:space="preserve">지난주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대구의 읍면동별 법인 공차 택시 통행량 상위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</si>
  <si>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date=last_week, time=180000-200000, taxi_type=corporate, taxi_status=vacant, dimension=emd, order=top, limit=3)</t>
    </r>
  </si>
  <si>
    <t xml:space="preserve">complex</t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</si>
  <si>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; space=admin; date=last_week; time=180000-200000; taxi_type=corporate; taxi_status=vacant; group_by=emd; order=top; limit=3</t>
    </r>
  </si>
  <si>
    <t xml:space="preserve">aug300-131</t>
  </si>
  <si>
    <t xml:space="preserve">F048</t>
  </si>
  <si>
    <t xml:space="preserve">status_vacant, agg_absent, group_by, ranking</t>
  </si>
  <si>
    <t xml:space="preserve">046</t>
  </si>
  <si>
    <t xml:space="preserve">132</t>
  </si>
  <si>
    <r>
      <rPr>
        <sz val="11"/>
        <color theme="1"/>
        <rFont val="Noto Sans CJK SC"/>
        <family val="2"/>
      </rPr>
      <t xml:space="preserve">이번 달 부산에서 시군구별 법인 실차 택시 통행량을 집계했을 때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</si>
  <si>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get_passage_count(scope=$resolve.scope, date=this_month, taxi_type=corporate, taxi_status=occupied, dimension=sigungu, order=top, limit=2)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</si>
  <si>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date=this_month; taxi_type=corporate; taxi_status=occupied; group_by=sigungu; order=top; limit=2</t>
    </r>
  </si>
  <si>
    <t xml:space="preserve">aug300-132</t>
  </si>
  <si>
    <t xml:space="preserve">F049</t>
  </si>
  <si>
    <t xml:space="preserve">occupied_passage, agg_absent, group_by, ranking</t>
  </si>
  <si>
    <t xml:space="preserve">005</t>
  </si>
  <si>
    <t xml:space="preserve">selection_v2 contrast/c05a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</si>
  <si>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vendor100 005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; vendor100 005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0.514.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</si>
  <si>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133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</si>
  <si>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대구 중구의 </t>
    </r>
    <r>
      <rPr>
        <sz val="11"/>
        <color theme="1"/>
        <rFont val="맑은 고딕"/>
        <family val="0"/>
        <charset val="1"/>
      </rPr>
      <t xml:space="preserve">H3 </t>
    </r>
    <r>
      <rPr>
        <sz val="11"/>
        <color theme="1"/>
        <rFont val="Noto Sans CJK SC"/>
        <family val="2"/>
      </rPr>
      <t xml:space="preserve">셀별 개인택시 통행량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</si>
  <si>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date=weekend, time=070000-090000, taxi_type=private, dimension=h3, order=top, limit=2)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</si>
  <si>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; space=admin; date=weekend; time=070000-090000; taxi_type=private; group_by=h3; order=top; limit=2</t>
    </r>
  </si>
  <si>
    <t xml:space="preserve">aug300-133</t>
  </si>
  <si>
    <t xml:space="preserve">F054</t>
  </si>
  <si>
    <t xml:space="preserve">agg_absent, group_by, ranking</t>
  </si>
  <si>
    <t xml:space="preserve">032</t>
  </si>
  <si>
    <t xml:space="preserve">134</t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</si>
  <si>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광안리 주변의 읍면동별 법인 공차 택시 통행량 하위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</si>
  <si>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, include_vicinity=true)
get_passage_count(scope=$resolve.scope, date=weekend, time=180000-200000, taxi_type=corporate, taxi_status=vacant, dimension=emd, order=bottom, limit=3)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</si>
  <si>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맑은 고딕"/>
        <family val="0"/>
        <charset val="1"/>
      </rPr>
      <t xml:space="preserve">(vicinity); space=vicinity; date=weekend; time=180000-200000; taxi_type=corporate; taxi_status=vacant; group_by=emd; order=bottom; limit=3</t>
    </r>
  </si>
  <si>
    <t xml:space="preserve">aug300-134</t>
  </si>
  <si>
    <t xml:space="preserve">status_vacant, vicinity, agg_absent, group_by, ranking</t>
  </si>
  <si>
    <t xml:space="preserve">135</t>
  </si>
  <si>
    <r>
      <rPr>
        <sz val="11"/>
        <color theme="1"/>
        <rFont val="Noto Sans CJK SC"/>
        <family val="2"/>
      </rPr>
      <t xml:space="preserve">휴일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초읍동 어린이대공원 주변의 읍면동별 개인 대기영업 택시 통행량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</si>
  <si>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맑은 고딕"/>
        <family val="0"/>
        <charset val="1"/>
      </rPr>
      <t xml:space="preserve">, include_vicinity=true)
get_passage_count(scope=$resolve.scope, date=holiday, time=180000-200000, taxi_type=private, taxi_status=stationary, dimension=emd, order=top, limit=2)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</si>
  <si>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맑은 고딕"/>
        <family val="0"/>
        <charset val="1"/>
      </rPr>
      <t xml:space="preserve">(vicinity); space=vicinity; date=holiday; time=180000-200000; taxi_type=private; taxi_status=stationary; group_by=emd; order=top; limit=2</t>
    </r>
  </si>
  <si>
    <t xml:space="preserve">aug300-135</t>
  </si>
  <si>
    <t xml:space="preserve">status_stationary, vicinity, agg_absent, group_by, ranking</t>
  </si>
  <si>
    <t xml:space="preserve">136</t>
  </si>
  <si>
    <r>
      <rPr>
        <sz val="11"/>
        <color theme="1"/>
        <rFont val="Noto Sans CJK SC"/>
        <family val="2"/>
      </rPr>
      <t xml:space="preserve">지난주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의 시군구별 공차 택시 통행량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</si>
  <si>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get_passage_count(scope=scope:district:2700000000, date=last_week, time=000000-040000, taxi_status=vacant, dimension=sigungu, order=bottom, limit=2)</t>
  </si>
  <si>
    <t xml:space="preserve">spatial_ref=scope:district:2700000000; space=direct_scope; date=last_week; time=000000-040000; taxi_status=vacant; group_by=sigungu; order=bottom; limit=2</t>
  </si>
  <si>
    <t xml:space="preserve">aug300-136</t>
  </si>
  <si>
    <t xml:space="preserve">F037</t>
  </si>
  <si>
    <t xml:space="preserve">status_vacant, agg_absent, group_by, ranking, direct_scope</t>
  </si>
  <si>
    <t xml:space="preserve">009</t>
  </si>
  <si>
    <t xml:space="preserve">aux_test_v1 final_v12/f17</t>
  </si>
  <si>
    <t xml:space="preserve">137</t>
  </si>
  <si>
    <r>
      <rPr>
        <sz val="11"/>
        <color theme="1"/>
        <rFont val="Noto Sans CJK SC"/>
        <family val="2"/>
      </rPr>
      <t xml:space="preserve">지난달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수성구의 읍면동별 법인 실차 택시 통행량 중 가장 많은 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</si>
  <si>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date=last_month, time=180000-200000, taxi_type=corporate, taxi_status=occupied, dimension=emd, order=top, limit=1)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</si>
  <si>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date=last_month; time=180000-200000; taxi_type=corporate; taxi_status=occupied; group_by=emd; order=top; limit=1</t>
    </r>
  </si>
  <si>
    <t xml:space="preserve">aug300-137</t>
  </si>
  <si>
    <t xml:space="preserve">F052</t>
  </si>
  <si>
    <t xml:space="preserve">selection_v2 old44/g04</t>
  </si>
  <si>
    <r>
      <rPr>
        <sz val="11"/>
        <color theme="1"/>
        <rFont val="맑은 고딕"/>
        <family val="0"/>
        <charset val="1"/>
      </rPr>
      <t xml:space="preserve">vendor100 037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0.524.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</si>
  <si>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138</t>
  </si>
  <si>
    <r>
      <rPr>
        <sz val="11"/>
        <color theme="1"/>
        <rFont val="Noto Sans CJK SC"/>
        <family val="2"/>
      </rPr>
      <t xml:space="preserve">주중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대구 달서구의 읍면동별 개인 공차 택시 통행량 하위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</si>
  <si>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date=weekday, time=083000-100000, taxi_type=private, taxi_status=vacant, dimension=emd, order=bottom, limit=3)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</si>
  <si>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date=weekday; time=083000-100000; taxi_type=private; taxi_status=vacant; group_by=emd; order=bottom; limit=3</t>
    </r>
  </si>
  <si>
    <t xml:space="preserve">aug300-138</t>
  </si>
  <si>
    <t xml:space="preserve">008</t>
  </si>
  <si>
    <t xml:space="preserve">139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</si>
  <si>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부산 부산진구의 읍면동별 법인 실차 택시 통행량 상위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</si>
  <si>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get_passage_count(scope=$resolve.scope, date=20260602, time=070000-090000, taxi_type=corporate, taxi_status=occupied, dimension=emd, order=top, limit=3)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</si>
  <si>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; space=admin; date=20260602; time=070000-090000; taxi_type=corporate; taxi_status=occupied; group_by=emd; order=top; limit=3</t>
    </r>
  </si>
  <si>
    <t xml:space="preserve">aug300-139</t>
  </si>
  <si>
    <t xml:space="preserve">030</t>
  </si>
  <si>
    <t xml:space="preserve">140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</si>
  <si>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일까지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의 시군구별 실차 택시 통행량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</si>
  <si>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get_passage_count(scope=scope:district:2600000000, date=20260601-20260605, time=180000-200000, taxi_status=occupied, dimension=sigungu, order=bottom, limit=2)</t>
  </si>
  <si>
    <t xml:space="preserve">spatial_ref=scope:district:2600000000; space=direct_scope; date=20260601-20260605; time=180000-200000; taxi_status=occupied; group_by=sigungu; order=bottom; limit=2</t>
  </si>
  <si>
    <t xml:space="preserve">aug300-140</t>
  </si>
  <si>
    <t xml:space="preserve">occupied_passage, agg_absent, group_by, ranking, direct_scope</t>
  </si>
  <si>
    <t xml:space="preserve">141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</si>
  <si>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대구 동구의 읍면동별 개인 대기영업 택시 통행량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</si>
  <si>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get_passage_count(scope=$resolve.scope, date=20260605, time=000000-040000, taxi_type=private, taxi_status=stationary, dimension=emd, order=top, limit=2)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</si>
  <si>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; space=admin; date=20260605; time=000000-040000; taxi_type=private; taxi_status=stationary; group_by=emd; order=top; limit=2</t>
    </r>
  </si>
  <si>
    <t xml:space="preserve">aug300-141</t>
  </si>
  <si>
    <t xml:space="preserve">status_stationary, agg_absent, group_by, ranking</t>
  </si>
  <si>
    <t xml:space="preserve">075</t>
  </si>
  <si>
    <t xml:space="preserve">142</t>
  </si>
  <si>
    <r>
      <rPr>
        <sz val="11"/>
        <color theme="1"/>
        <rFont val="Noto Sans CJK SC"/>
        <family val="2"/>
      </rPr>
      <t xml:space="preserve">이번 달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중심지 주변의 </t>
    </r>
    <r>
      <rPr>
        <sz val="11"/>
        <color theme="1"/>
        <rFont val="맑은 고딕"/>
        <family val="0"/>
        <charset val="1"/>
      </rPr>
      <t xml:space="preserve">H3 </t>
    </r>
    <r>
      <rPr>
        <sz val="11"/>
        <color theme="1"/>
        <rFont val="Noto Sans CJK SC"/>
        <family val="2"/>
      </rPr>
      <t xml:space="preserve">셀별 법인 공차 택시 통행량 상위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</si>
  <si>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, include_vicinity=true)
get_passage_count(scope=$resolve.scope, date=this_month, time=180000-200000, taxi_type=corporate, taxi_status=vacant, dimension=h3, order=top, limit=3)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</si>
  <si>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맑은 고딕"/>
        <family val="0"/>
        <charset val="1"/>
      </rPr>
      <t xml:space="preserve">(vicinity); space=vicinity; date=this_month; time=180000-200000; taxi_type=corporate; taxi_status=vacant; group_by=h3; order=top; limit=3</t>
    </r>
  </si>
  <si>
    <t xml:space="preserve">aug300-142</t>
  </si>
  <si>
    <t xml:space="preserve">143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</si>
  <si>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수영구의 읍면동별 공차 택시 통행량 중 가장 적은 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</si>
  <si>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get_passage_count(scope=$resolve.scope, date=20260603, time=180000-200000, taxi_status=vacant, dimension=emd, order=bottom, limit=1)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</si>
  <si>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; space=admin; date=20260603; time=180000-200000; taxi_status=vacant; group_by=emd; order=bottom; limit=1</t>
    </r>
  </si>
  <si>
    <t xml:space="preserve">aug300-143</t>
  </si>
  <si>
    <t xml:space="preserve">F053</t>
  </si>
  <si>
    <t xml:space="preserve">144</t>
  </si>
  <si>
    <r>
      <rPr>
        <sz val="11"/>
        <color theme="1"/>
        <rFont val="Noto Sans CJK SC"/>
        <family val="2"/>
      </rPr>
      <t xml:space="preserve">대구 중구의 평균 속도는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</si>
  <si>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get_passage_metrics(metric=speed, scope=$resolve.scope, aggregation=avg)</t>
    </r>
  </si>
  <si>
    <t xml:space="preserve">PASSAGE_METRIC</t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</si>
  <si>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; space=admin; metric=speed; aggregation=avg</t>
    </r>
  </si>
  <si>
    <t xml:space="preserve">aug300-144</t>
  </si>
  <si>
    <t xml:space="preserve">F070</t>
  </si>
  <si>
    <t xml:space="preserve">agg_explicit</t>
  </si>
  <si>
    <t xml:space="preserve">033</t>
  </si>
  <si>
    <t xml:space="preserve">valid98 heldout_v9/h31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</si>
  <si>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vendor100 033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; vendor100 033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0.538.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</si>
  <si>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145</t>
  </si>
  <si>
    <r>
      <rPr>
        <sz val="11"/>
        <color theme="1"/>
        <rFont val="Noto Sans CJK SC"/>
        <family val="2"/>
      </rPr>
      <t xml:space="preserve">동대구역에서 기록된 평균 속도 값을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</si>
  <si>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맑은 고딕"/>
        <family val="0"/>
        <charset val="1"/>
      </rPr>
      <t xml:space="preserve">)
get_passage_metrics(metric=speed, scope=$resolve.scope,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</si>
  <si>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맑은 고딕"/>
        <family val="0"/>
        <charset val="1"/>
      </rPr>
      <t xml:space="preserve">; space=place; metric=speed; aggregation=avg</t>
    </r>
  </si>
  <si>
    <t xml:space="preserve">aug300-145</t>
  </si>
  <si>
    <t xml:space="preserve">F067</t>
  </si>
  <si>
    <t xml:space="preserve">068</t>
  </si>
  <si>
    <t xml:space="preserve">146</t>
  </si>
  <si>
    <r>
      <rPr>
        <sz val="11"/>
        <color theme="1"/>
        <rFont val="맑은 고딕"/>
        <family val="0"/>
        <charset val="1"/>
      </rPr>
      <t xml:space="preserve">scope:edge:1742 </t>
    </r>
    <r>
      <rPr>
        <sz val="11"/>
        <color theme="1"/>
        <rFont val="Noto Sans CJK SC"/>
        <family val="2"/>
      </rPr>
      <t xml:space="preserve">기준 평균 속도 값이 얼마야</t>
    </r>
    <r>
      <rPr>
        <sz val="11"/>
        <color theme="1"/>
        <rFont val="맑은 고딕"/>
        <family val="0"/>
        <charset val="1"/>
      </rPr>
      <t xml:space="preserve">?</t>
    </r>
  </si>
  <si>
    <t xml:space="preserve">get_passage_metrics(metric=speed, scope=scope:edge:1742, aggregation=avg)</t>
  </si>
  <si>
    <t xml:space="preserve">spatial_ref=scope:edge:1742; space=direct_scope; metric=speed; aggregation=avg</t>
  </si>
  <si>
    <t xml:space="preserve">aug300-146</t>
  </si>
  <si>
    <t xml:space="preserve">F066</t>
  </si>
  <si>
    <t xml:space="preserve">agg_explicit, direct_scope</t>
  </si>
  <si>
    <t xml:space="preserve">094</t>
  </si>
  <si>
    <t xml:space="preserve">selection_v2 old44/g36</t>
  </si>
  <si>
    <t xml:space="preserve">147</t>
  </si>
  <si>
    <r>
      <rPr>
        <sz val="11"/>
        <color theme="1"/>
        <rFont val="맑은 고딕"/>
        <family val="0"/>
        <charset val="1"/>
      </rPr>
      <t xml:space="preserve">scope:h3:8830e1d87ffffff</t>
    </r>
    <r>
      <rPr>
        <sz val="11"/>
        <color theme="1"/>
        <rFont val="Noto Sans CJK SC"/>
        <family val="2"/>
      </rPr>
      <t xml:space="preserve">의 최대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값을 조회해줘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</si>
  <si>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get_passage_metrics(metric=rpm, scope=scope:h3:8830e1d87ffffff, aggregation=max)</t>
  </si>
  <si>
    <t xml:space="preserve">spatial_ref=scope:h3:8830e1d87ffffff; space=direct_scope; metric=rpm; aggregation=max</t>
  </si>
  <si>
    <t xml:space="preserve">aug300-147</t>
  </si>
  <si>
    <r>
      <rPr>
        <sz val="11"/>
        <color theme="1"/>
        <rFont val="맑은 고딕"/>
        <family val="0"/>
        <charset val="1"/>
      </rPr>
      <t xml:space="preserve">vendor100 051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0.532.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</si>
  <si>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148</t>
  </si>
  <si>
    <r>
      <rPr>
        <sz val="11"/>
        <color theme="1"/>
        <rFont val="Noto Sans CJK SC"/>
        <family val="2"/>
      </rPr>
      <t xml:space="preserve">대구 동성로 주변의 최소 속도는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</si>
  <si>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, include_vicinity=true)
get_passage_metrics(metric=speed, scope=$resolve.scope,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</si>
  <si>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맑은 고딕"/>
        <family val="0"/>
        <charset val="1"/>
      </rPr>
      <t xml:space="preserve">(vicinity); space=vicinity; metric=speed; aggregation=min</t>
    </r>
  </si>
  <si>
    <t xml:space="preserve">aug300-148</t>
  </si>
  <si>
    <t xml:space="preserve">F071</t>
  </si>
  <si>
    <t xml:space="preserve">vicinity, agg_explicit</t>
  </si>
  <si>
    <t xml:space="preserve">valid98 heldout_v9/h32</t>
  </si>
  <si>
    <t xml:space="preserve">149</t>
  </si>
  <si>
    <r>
      <rPr>
        <sz val="11"/>
        <color theme="1"/>
        <rFont val="Noto Sans CJK SC"/>
        <family val="2"/>
      </rPr>
      <t xml:space="preserve">부산 초읍동 어린이대공원에서 기록된 평균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값을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</si>
  <si>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맑은 고딕"/>
        <family val="0"/>
        <charset val="1"/>
      </rPr>
      <t xml:space="preserve">)
get_passage_metrics(metric=rpm, scope=$resolve.scope,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</si>
  <si>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맑은 고딕"/>
        <family val="0"/>
        <charset val="1"/>
      </rPr>
      <t xml:space="preserve">; space=place; metric=rpm; aggregation=avg</t>
    </r>
  </si>
  <si>
    <t xml:space="preserve">aug300-149</t>
  </si>
  <si>
    <t xml:space="preserve">selection_v2 indepv4/k05</t>
  </si>
  <si>
    <t xml:space="preserve">150</t>
  </si>
  <si>
    <r>
      <rPr>
        <sz val="11"/>
        <color theme="1"/>
        <rFont val="Noto Sans CJK SC"/>
        <family val="2"/>
      </rPr>
      <t xml:space="preserve">부산 광안리 기준 최대 속도 값이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</si>
  <si>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get_passage_metrics(metric=speed, scope=$resolve.scope,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</si>
  <si>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맑은 고딕"/>
        <family val="0"/>
        <charset val="1"/>
      </rPr>
      <t xml:space="preserve">; space=place; metric=speed; aggregation=max</t>
    </r>
  </si>
  <si>
    <t xml:space="preserve">aug300-150</t>
  </si>
  <si>
    <t xml:space="preserve">096</t>
  </si>
  <si>
    <t xml:space="preserve">valid98 heldout_v8/r01</t>
  </si>
  <si>
    <t xml:space="preserve">151</t>
  </si>
  <si>
    <r>
      <rPr>
        <sz val="11"/>
        <color theme="1"/>
        <rFont val="Noto Sans CJK SC"/>
        <family val="2"/>
      </rPr>
      <t xml:space="preserve">대구 수성구의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중간값을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</si>
  <si>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get_passage_metrics(metric=rpm, scope=$resolve.scope,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</si>
  <si>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metric=rpm; aggregation=med</t>
    </r>
  </si>
  <si>
    <t xml:space="preserve">aug300-151</t>
  </si>
  <si>
    <t xml:space="preserve">027</t>
  </si>
  <si>
    <t xml:space="preserve">selection_v2 old44/g08</t>
  </si>
  <si>
    <t xml:space="preserve">152</t>
  </si>
  <si>
    <r>
      <rPr>
        <sz val="11"/>
        <color theme="1"/>
        <rFont val="Noto Sans CJK SC"/>
        <family val="2"/>
      </rPr>
      <t xml:space="preserve">대구 달서구의 평균 속도는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</si>
  <si>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get_passage_metrics(metric=speed, scope=$resolve.scope,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</si>
  <si>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metric=speed; aggregation=avg</t>
    </r>
  </si>
  <si>
    <t xml:space="preserve">aug300-152</t>
  </si>
  <si>
    <t xml:space="preserve">050</t>
  </si>
  <si>
    <t xml:space="preserve">153</t>
  </si>
  <si>
    <r>
      <rPr>
        <sz val="11"/>
        <color theme="1"/>
        <rFont val="Noto Sans CJK SC"/>
        <family val="2"/>
      </rPr>
      <t xml:space="preserve">대구 중심지 주변에서 기록된 최소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값을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</si>
  <si>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, include_vicinity=true)
get_passage_metrics(metric=rpm, scope=$resolve.scope,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</si>
  <si>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맑은 고딕"/>
        <family val="0"/>
        <charset val="1"/>
      </rPr>
      <t xml:space="preserve">(vicinity); space=vicinity; metric=rpm; aggregation=min</t>
    </r>
  </si>
  <si>
    <t xml:space="preserve">aug300-153</t>
  </si>
  <si>
    <t xml:space="preserve">087</t>
  </si>
  <si>
    <t xml:space="preserve">valid98 heldout_v9/h33</t>
  </si>
  <si>
    <t xml:space="preserve">154</t>
  </si>
  <si>
    <r>
      <rPr>
        <sz val="11"/>
        <color theme="1"/>
        <rFont val="맑은 고딕"/>
        <family val="0"/>
        <charset val="1"/>
      </rPr>
      <t xml:space="preserve">scope:gz:3982 </t>
    </r>
    <r>
      <rPr>
        <sz val="11"/>
        <color theme="1"/>
        <rFont val="Noto Sans CJK SC"/>
        <family val="2"/>
      </rPr>
      <t xml:space="preserve">기준 평균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값이 얼마야</t>
    </r>
    <r>
      <rPr>
        <sz val="11"/>
        <color theme="1"/>
        <rFont val="맑은 고딕"/>
        <family val="0"/>
        <charset val="1"/>
      </rPr>
      <t xml:space="preserve">?</t>
    </r>
  </si>
  <si>
    <t xml:space="preserve">get_passage_metrics(metric=rpm, scope=scope:gz:3982, aggregation=avg)</t>
  </si>
  <si>
    <t xml:space="preserve">spatial_ref=scope:gz:3982; space=direct_scope; metric=rpm; aggregation=avg</t>
  </si>
  <si>
    <t xml:space="preserve">aug300-154</t>
  </si>
  <si>
    <t xml:space="preserve">selection_v2 indepv2/n40</t>
  </si>
  <si>
    <t xml:space="preserve">155</t>
  </si>
  <si>
    <r>
      <rPr>
        <sz val="11"/>
        <color theme="1"/>
        <rFont val="Noto Sans CJK SC"/>
        <family val="2"/>
      </rPr>
      <t xml:space="preserve">부산 광안동의 속도 중간값을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</si>
  <si>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get_passage_metrics(metric=speed, scope=$resolve.scope,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</si>
  <si>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맑은 고딕"/>
        <family val="0"/>
        <charset val="1"/>
      </rPr>
      <t xml:space="preserve">; space=admin; metric=speed; aggregation=med</t>
    </r>
  </si>
  <si>
    <t xml:space="preserve">aug300-155</t>
  </si>
  <si>
    <t xml:space="preserve">selection_v2 old44/g09</t>
  </si>
  <si>
    <t xml:space="preserve">156</t>
  </si>
  <si>
    <r>
      <rPr>
        <sz val="11"/>
        <color theme="1"/>
        <rFont val="맑은 고딕"/>
        <family val="0"/>
        <charset val="1"/>
      </rPr>
      <t xml:space="preserve">scope:h3:8830e1d83ffffff</t>
    </r>
    <r>
      <rPr>
        <sz val="11"/>
        <color theme="1"/>
        <rFont val="Noto Sans CJK SC"/>
        <family val="2"/>
      </rPr>
      <t xml:space="preserve">의 최대 속도는</t>
    </r>
    <r>
      <rPr>
        <sz val="11"/>
        <color theme="1"/>
        <rFont val="맑은 고딕"/>
        <family val="0"/>
        <charset val="1"/>
      </rPr>
      <t xml:space="preserve">?</t>
    </r>
  </si>
  <si>
    <t xml:space="preserve">get_passage_metrics(metric=speed, scope=scope:h3:8830e1d83ffffff, aggregation=max)</t>
  </si>
  <si>
    <t xml:space="preserve">spatial_ref=scope:h3:8830e1d83ffffff; space=direct_scope; metric=speed; aggregation=max</t>
  </si>
  <si>
    <t xml:space="preserve">aug300-156</t>
  </si>
  <si>
    <t xml:space="preserve">157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</si>
  <si>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 사이 대구 달서구에서 기록된 평균 속도를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</si>
  <si>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get_passage_metrics(metric=speed, scope=$resolve.scope, date=weekend, time=070000-090000,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</si>
  <si>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date=weekend; time=070000-090000; metric=speed; aggregation=avg</t>
    </r>
  </si>
  <si>
    <t xml:space="preserve">aug300-157</t>
  </si>
  <si>
    <t xml:space="preserve">F068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</si>
  <si>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vendor100 050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</si>
  <si>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158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</si>
  <si>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scope:h3:8830e1d81ffffff</t>
    </r>
    <r>
      <rPr>
        <sz val="11"/>
        <color theme="1"/>
        <rFont val="Noto Sans CJK SC"/>
        <family val="2"/>
      </rPr>
      <t xml:space="preserve">에서 기록된 최대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값을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</si>
  <si>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get_passage_metrics(metric=rpm, scope=scope:h3:8830e1d81ffffff, date=weekend, time=083000-100000, aggregation=max)</t>
  </si>
  <si>
    <t xml:space="preserve">spatial_ref=scope:h3:8830e1d81ffffff; space=direct_scope; date=weekend; time=083000-100000; metric=rpm; aggregation=max</t>
  </si>
  <si>
    <t xml:space="preserve">aug300-158</t>
  </si>
  <si>
    <t xml:space="preserve">F065</t>
  </si>
  <si>
    <t xml:space="preserve">159</t>
  </si>
  <si>
    <r>
      <rPr>
        <sz val="11"/>
        <color theme="1"/>
        <rFont val="Noto Sans CJK SC"/>
        <family val="2"/>
      </rPr>
      <t xml:space="preserve">지난달 부산 광안리 주변 기준 최대 속도 값이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</si>
  <si>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, include_vicinity=true)
get_passage_metrics(metric=speed, scope=$resolve.scope, date=last_month,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</si>
  <si>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맑은 고딕"/>
        <family val="0"/>
        <charset val="1"/>
      </rPr>
      <t xml:space="preserve">(vicinity); space=vicinity; date=last_month; metric=speed; aggregation=max</t>
    </r>
  </si>
  <si>
    <t xml:space="preserve">aug300-159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</si>
  <si>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vendor100 096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</si>
  <si>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160</t>
  </si>
  <si>
    <r>
      <rPr>
        <sz val="11"/>
        <color theme="1"/>
        <rFont val="Noto Sans CJK SC"/>
        <family val="2"/>
      </rPr>
      <t xml:space="preserve">지난주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동대구역 주변의 속도 중간값을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</si>
  <si>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맑은 고딕"/>
        <family val="0"/>
        <charset val="1"/>
      </rPr>
      <t xml:space="preserve">, include_vicinity=true)
get_passage_metrics(metric=speed, scope=$resolve.scope, date=last_week, time=180000-200000,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</si>
  <si>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맑은 고딕"/>
        <family val="0"/>
        <charset val="1"/>
      </rPr>
      <t xml:space="preserve">(vicinity); space=vicinity; date=last_week; time=180000-200000; metric=speed; aggregation=med</t>
    </r>
  </si>
  <si>
    <t xml:space="preserve">aug300-160</t>
  </si>
  <si>
    <t xml:space="preserve">029</t>
  </si>
  <si>
    <t xml:space="preserve">161</t>
  </si>
  <si>
    <r>
      <rPr>
        <sz val="11"/>
        <color theme="1"/>
        <rFont val="Noto Sans CJK SC"/>
        <family val="2"/>
      </rPr>
      <t xml:space="preserve">지난달 대구 수성구의 최대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</si>
  <si>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get_passage_metrics(metric=rpm, scope=$resolve.scope, date=last_month,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</si>
  <si>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date=last_month; metric=rpm; aggregation=max</t>
    </r>
  </si>
  <si>
    <t xml:space="preserve">aug300-161</t>
  </si>
  <si>
    <t xml:space="preserve">F069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</si>
  <si>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vendor100 087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</si>
  <si>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162</t>
  </si>
  <si>
    <r>
      <rPr>
        <sz val="11"/>
        <color theme="1"/>
        <rFont val="Noto Sans CJK SC"/>
        <family val="2"/>
      </rPr>
      <t xml:space="preserve">이번 달 대구 중구에서 기록된 최소 속도 값을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</si>
  <si>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get_passage_metrics(metric=speed, scope=$resolve.scope, date=this_month,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</si>
  <si>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; space=admin; date=this_month; metric=speed; aggregation=min</t>
    </r>
  </si>
  <si>
    <t xml:space="preserve">aug300-162</t>
  </si>
  <si>
    <t xml:space="preserve">163</t>
  </si>
  <si>
    <r>
      <rPr>
        <sz val="11"/>
        <color theme="1"/>
        <rFont val="Noto Sans CJK SC"/>
        <family val="2"/>
      </rPr>
      <t xml:space="preserve">휴일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초읍동 어린이대공원 주변 기준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중간값이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</si>
  <si>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맑은 고딕"/>
        <family val="0"/>
        <charset val="1"/>
      </rPr>
      <t xml:space="preserve">, include_vicinity=true)
get_passage_metrics(metric=rpm, scope=$resolve.scope, date=holiday, time=180000-200000,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</si>
  <si>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맑은 고딕"/>
        <family val="0"/>
        <charset val="1"/>
      </rPr>
      <t xml:space="preserve">(vicinity); space=vicinity; date=holiday; time=180000-200000; metric=rpm; aggregation=med</t>
    </r>
  </si>
  <si>
    <t xml:space="preserve">aug300-163</t>
  </si>
  <si>
    <r>
      <rPr>
        <sz val="11"/>
        <color theme="1"/>
        <rFont val="맑은 고딕"/>
        <family val="0"/>
        <charset val="1"/>
      </rPr>
      <t xml:space="preserve">vendor100 064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0.581.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</si>
  <si>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164</t>
  </si>
  <si>
    <r>
      <rPr>
        <sz val="11"/>
        <color theme="1"/>
        <rFont val="Noto Sans CJK SC"/>
        <family val="2"/>
      </rPr>
      <t xml:space="preserve">이번 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scope:edge:1742</t>
    </r>
    <r>
      <rPr>
        <sz val="11"/>
        <color theme="1"/>
        <rFont val="Noto Sans CJK SC"/>
        <family val="2"/>
      </rPr>
      <t xml:space="preserve">의 평균 속도 값을 조회해줘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</si>
  <si>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get_passage_metrics(metric=speed, scope=scope:edge:1742, date=this_week, time=180000-200000, aggregation=avg)</t>
  </si>
  <si>
    <t xml:space="preserve">spatial_ref=scope:edge:1742; space=direct_scope; date=this_week; time=180000-200000; metric=speed; aggregation=avg</t>
  </si>
  <si>
    <t xml:space="preserve">aug300-164</t>
  </si>
  <si>
    <t xml:space="preserve">165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</si>
  <si>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부산 부산진구의 속도 중간값은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</si>
  <si>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get_passage_metrics(metric=speed, scope=$resolve.scope, date=20260602, time=070000-090000,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</si>
  <si>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; space=admin; date=20260602; time=070000-090000; metric=speed; aggregation=med</t>
    </r>
  </si>
  <si>
    <t xml:space="preserve">aug300-165</t>
  </si>
  <si>
    <t xml:space="preserve">081</t>
  </si>
  <si>
    <t xml:space="preserve">166</t>
  </si>
  <si>
    <r>
      <rPr>
        <sz val="11"/>
        <color theme="1"/>
        <rFont val="Noto Sans CJK SC"/>
        <family val="2"/>
      </rPr>
      <t xml:space="preserve">주중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scope:h3:8830e1d85ffffff</t>
    </r>
    <r>
      <rPr>
        <sz val="11"/>
        <color theme="1"/>
        <rFont val="Noto Sans CJK SC"/>
        <family val="2"/>
      </rPr>
      <t xml:space="preserve">에서 기록된 최소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값을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</si>
  <si>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get_passage_metrics(metric=rpm, scope=scope:h3:8830e1d85ffffff, date=weekday, time=000000-040000, aggregation=min)</t>
  </si>
  <si>
    <t xml:space="preserve">spatial_ref=scope:h3:8830e1d85ffffff; space=direct_scope; date=weekday; time=000000-040000; metric=rpm; aggregation=min</t>
  </si>
  <si>
    <t xml:space="preserve">aug300-166</t>
  </si>
  <si>
    <t xml:space="preserve">167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</si>
  <si>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대구 동성로 기준 최대 속도 값이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</si>
  <si>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get_passage_metrics(metric=speed, scope=$resolve.scope, date=20260603,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</si>
  <si>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맑은 고딕"/>
        <family val="0"/>
        <charset val="1"/>
      </rPr>
      <t xml:space="preserve">; space=place; date=20260603; metric=speed; aggregation=max</t>
    </r>
  </si>
  <si>
    <t xml:space="preserve">aug300-167</t>
  </si>
  <si>
    <t xml:space="preserve">selection_v2 old44/g02</t>
  </si>
  <si>
    <t xml:space="preserve">168</t>
  </si>
  <si>
    <r>
      <rPr>
        <sz val="11"/>
        <color theme="1"/>
        <rFont val="Noto Sans CJK SC"/>
        <family val="2"/>
      </rPr>
      <t xml:space="preserve">이번 달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부산 광안동의 평균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값을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</si>
  <si>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get_passage_metrics(metric=rpm, scope=$resolve.scope, date=this_month, time=083000-100000,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</si>
  <si>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맑은 고딕"/>
        <family val="0"/>
        <charset val="1"/>
      </rPr>
      <t xml:space="preserve">; space=admin; date=this_month; time=083000-100000; metric=rpm; aggregation=avg</t>
    </r>
  </si>
  <si>
    <t xml:space="preserve">aug300-168</t>
  </si>
  <si>
    <t xml:space="preserve">169</t>
  </si>
  <si>
    <r>
      <rPr>
        <sz val="11"/>
        <color theme="1"/>
        <rFont val="Noto Sans CJK SC"/>
        <family val="2"/>
      </rPr>
      <t xml:space="preserve">지난주 대구 중심지의 최소 속도는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</si>
  <si>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get_passage_metrics(metric=speed, scope=$resolve.scope, date=last_week,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</si>
  <si>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맑은 고딕"/>
        <family val="0"/>
        <charset val="1"/>
      </rPr>
      <t xml:space="preserve">; space=place; date=last_week; metric=speed; aggregation=min</t>
    </r>
  </si>
  <si>
    <t xml:space="preserve">aug300-169</t>
  </si>
  <si>
    <t xml:space="preserve">170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</si>
  <si>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scope:gz:33212</t>
    </r>
    <r>
      <rPr>
        <sz val="11"/>
        <color theme="1"/>
        <rFont val="Noto Sans CJK SC"/>
        <family val="2"/>
      </rPr>
      <t xml:space="preserve">에서 기록된 속도 중간값을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</si>
  <si>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get_passage_metrics(metric=speed, scope=scope:gz:33212, date=20260605, time=180000-200000, aggregation=med)</t>
  </si>
  <si>
    <t xml:space="preserve">spatial_ref=scope:gz:33212; space=direct_scope; date=20260605; time=180000-200000; metric=speed; aggregation=med</t>
  </si>
  <si>
    <t xml:space="preserve">aug300-170</t>
  </si>
  <si>
    <t xml:space="preserve">171</t>
  </si>
  <si>
    <r>
      <rPr>
        <sz val="11"/>
        <color theme="1"/>
        <rFont val="Noto Sans CJK SC"/>
        <family val="2"/>
      </rPr>
      <t xml:space="preserve">이번 주 대구 동구 기준 최대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값이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</si>
  <si>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get_passage_metrics(metric=rpm, scope=$resolve.scope, date=this_week,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</si>
  <si>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; space=admin; date=this_week; metric=rpm; aggregation=max</t>
    </r>
  </si>
  <si>
    <t xml:space="preserve">aug300-171</t>
  </si>
  <si>
    <t xml:space="preserve">172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</si>
  <si>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일까지 부산 초량동의 평균 속도 값을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</si>
  <si>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get_passage_metrics(metric=speed, scope=$resolve.scope, date=20260601-20260605,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</si>
  <si>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맑은 고딕"/>
        <family val="0"/>
        <charset val="1"/>
      </rPr>
      <t xml:space="preserve">; space=admin; date=20260601-20260605; metric=speed; aggregation=avg</t>
    </r>
  </si>
  <si>
    <t xml:space="preserve">aug300-172</t>
  </si>
  <si>
    <t xml:space="preserve">aux_test_v1 final_v12/f11</t>
  </si>
  <si>
    <t xml:space="preserve">173</t>
  </si>
  <si>
    <r>
      <rPr>
        <sz val="11"/>
        <color theme="1"/>
        <rFont val="Noto Sans CJK SC"/>
        <family val="2"/>
      </rPr>
      <t xml:space="preserve">휴일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scope:edge:11234</t>
    </r>
    <r>
      <rPr>
        <sz val="11"/>
        <color theme="1"/>
        <rFont val="Noto Sans CJK SC"/>
        <family val="2"/>
      </rPr>
      <t xml:space="preserve">의 최소 속도는</t>
    </r>
    <r>
      <rPr>
        <sz val="11"/>
        <color theme="1"/>
        <rFont val="맑은 고딕"/>
        <family val="0"/>
        <charset val="1"/>
      </rPr>
      <t xml:space="preserve">?</t>
    </r>
  </si>
  <si>
    <t xml:space="preserve">get_passage_metrics(metric=speed, scope=scope:edge:11234, date=holiday, time=070000-090000, aggregation=min)</t>
  </si>
  <si>
    <t xml:space="preserve">spatial_ref=scope:edge:11234; space=direct_scope; date=holiday; time=070000-090000; metric=speed; aggregation=min</t>
  </si>
  <si>
    <t xml:space="preserve">aug300-173</t>
  </si>
  <si>
    <t xml:space="preserve">selection_v2 indepv4/k20</t>
  </si>
  <si>
    <t xml:space="preserve">174</t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</si>
  <si>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광안리 주변의 속도 중간값은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</si>
  <si>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, include_vicinity=true)
get_passage_metrics(metric=speed, scope=$resolve.scope, date=weekend, time=180000-200000,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</si>
  <si>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맑은 고딕"/>
        <family val="0"/>
        <charset val="1"/>
      </rPr>
      <t xml:space="preserve">(vicinity); space=vicinity; date=weekend; time=180000-200000; metric=speed; aggregation=med</t>
    </r>
  </si>
  <si>
    <t xml:space="preserve">aug300-174</t>
  </si>
  <si>
    <t xml:space="preserve">175</t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</si>
  <si>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초읍동 어린이대공원 주변에서 기록된 최대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값을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</si>
  <si>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맑은 고딕"/>
        <family val="0"/>
        <charset val="1"/>
      </rPr>
      <t xml:space="preserve">, include_vicinity=true)
get_passage_metrics(metric=rpm, scope=$resolve.scope, date=weekend, time=180000-200000,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</si>
  <si>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맑은 고딕"/>
        <family val="0"/>
        <charset val="1"/>
      </rPr>
      <t xml:space="preserve">(vicinity); space=vicinity; date=weekend; time=180000-200000; metric=rpm; aggregation=max</t>
    </r>
  </si>
  <si>
    <t xml:space="preserve">aug300-175</t>
  </si>
  <si>
    <r>
      <rPr>
        <sz val="11"/>
        <color theme="1"/>
        <rFont val="맑은 고딕"/>
        <family val="0"/>
        <charset val="1"/>
      </rPr>
      <t xml:space="preserve">vendor100 064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0.511.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</si>
  <si>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176</t>
  </si>
  <si>
    <r>
      <rPr>
        <sz val="11"/>
        <color theme="1"/>
        <rFont val="Noto Sans CJK SC"/>
        <family val="2"/>
      </rPr>
      <t xml:space="preserve">지난주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동대구역 주변 기준 최소 속도 값이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</si>
  <si>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맑은 고딕"/>
        <family val="0"/>
        <charset val="1"/>
      </rPr>
      <t xml:space="preserve">, include_vicinity=true)
get_passage_metrics(metric=speed, scope=$resolve.scope, date=last_week, time=070000-090000,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</si>
  <si>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맑은 고딕"/>
        <family val="0"/>
        <charset val="1"/>
      </rPr>
      <t xml:space="preserve">(vicinity); space=vicinity; date=last_week; time=070000-090000; metric=speed; aggregation=min</t>
    </r>
  </si>
  <si>
    <t xml:space="preserve">aug300-176</t>
  </si>
  <si>
    <t xml:space="preserve">aux_test_v1 final_v12/f12</t>
  </si>
  <si>
    <t xml:space="preserve">177</t>
  </si>
  <si>
    <r>
      <rPr>
        <sz val="11"/>
        <color theme="1"/>
        <rFont val="Noto Sans CJK SC"/>
        <family val="2"/>
      </rPr>
      <t xml:space="preserve">이번 달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동성로 주변의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중간값을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</si>
  <si>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, include_vicinity=true)
get_passage_metrics(metric=rpm, scope=$resolve.scope, date=this_month, time=180000-200000,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</si>
  <si>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맑은 고딕"/>
        <family val="0"/>
        <charset val="1"/>
      </rPr>
      <t xml:space="preserve">(vicinity); space=vicinity; date=this_month; time=180000-200000; metric=rpm; aggregation=med</t>
    </r>
  </si>
  <si>
    <t xml:space="preserve">aug300-177</t>
  </si>
  <si>
    <t xml:space="preserve">178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</si>
  <si>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scope:h3:8830e1d87ffffff</t>
    </r>
    <r>
      <rPr>
        <sz val="11"/>
        <color theme="1"/>
        <rFont val="Noto Sans CJK SC"/>
        <family val="2"/>
      </rPr>
      <t xml:space="preserve">의 최대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값은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</si>
  <si>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get_passage_metrics(metric=rpm, scope=scope:h3:8830e1d87ffffff, date=20260602, time=083000-100000, aggregation=max)</t>
  </si>
  <si>
    <t xml:space="preserve">spatial_ref=scope:h3:8830e1d87ffffff; space=direct_scope; date=20260602; time=083000-100000; metric=rpm; aggregation=max</t>
  </si>
  <si>
    <t xml:space="preserve">aug300-178</t>
  </si>
  <si>
    <r>
      <rPr>
        <sz val="11"/>
        <color theme="1"/>
        <rFont val="맑은 고딕"/>
        <family val="0"/>
        <charset val="1"/>
      </rPr>
      <t xml:space="preserve">vendor100 051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0.596.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</si>
  <si>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179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</si>
  <si>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일까지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scope:edge:1742</t>
    </r>
    <r>
      <rPr>
        <sz val="11"/>
        <color theme="1"/>
        <rFont val="Noto Sans CJK SC"/>
        <family val="2"/>
      </rPr>
      <t xml:space="preserve">에서 기록된 평균 속도 값을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</si>
  <si>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get_passage_metrics(metric=speed, scope=scope:edge:1742, date=20260601-20260605, time=180000-200000, aggregation=avg)</t>
  </si>
  <si>
    <t xml:space="preserve">spatial_ref=scope:edge:1742; space=direct_scope; date=20260601-20260605; time=180000-200000; metric=speed; aggregation=avg</t>
  </si>
  <si>
    <t xml:space="preserve">aug300-179</t>
  </si>
  <si>
    <t xml:space="preserve">180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</si>
  <si>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대구 수성구 기준 최소 속도 값이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</si>
  <si>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get_passage_metrics(metric=speed, scope=$resolve.scope, date=20260605, time=000000-040000,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</si>
  <si>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date=20260605; time=000000-040000; metric=speed; aggregation=min</t>
    </r>
  </si>
  <si>
    <t xml:space="preserve">aug300-180</t>
  </si>
  <si>
    <t xml:space="preserve">039</t>
  </si>
  <si>
    <t xml:space="preserve">181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</si>
  <si>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대구 달서구의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중간값을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</si>
  <si>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get_passage_metrics(metric=rpm, scope=$resolve.scope, date=20260603, time=070000-090000,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</si>
  <si>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date=20260603; time=070000-090000; metric=rpm; aggregation=med</t>
    </r>
  </si>
  <si>
    <t xml:space="preserve">aug300-181</t>
  </si>
  <si>
    <t xml:space="preserve">182</t>
  </si>
  <si>
    <r>
      <rPr>
        <sz val="11"/>
        <color theme="1"/>
        <rFont val="Noto Sans CJK SC"/>
        <family val="2"/>
      </rPr>
      <t xml:space="preserve">주중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부산진구의 최대 속도는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</si>
  <si>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get_passage_metrics(metric=speed, scope=$resolve.scope, date=weekday, time=180000-200000,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</si>
  <si>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; space=admin; date=weekday; time=180000-200000; metric=speed; aggregation=max</t>
    </r>
  </si>
  <si>
    <t xml:space="preserve">aug300-182</t>
  </si>
  <si>
    <t xml:space="preserve">092</t>
  </si>
  <si>
    <r>
      <rPr>
        <sz val="11"/>
        <color theme="1"/>
        <rFont val="맑은 고딕"/>
        <family val="0"/>
        <charset val="1"/>
      </rPr>
      <t xml:space="preserve">vendor100 092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0.500.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</si>
  <si>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183</t>
  </si>
  <si>
    <r>
      <rPr>
        <sz val="11"/>
        <color theme="1"/>
        <rFont val="Noto Sans CJK SC"/>
        <family val="2"/>
      </rPr>
      <t xml:space="preserve">지난달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대구 중심지 주변에서 기록된 평균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값을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</si>
  <si>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, include_vicinity=true)
get_passage_metrics(metric=rpm, scope=$resolve.scope, date=last_month, time=083000-100000,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</si>
  <si>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맑은 고딕"/>
        <family val="0"/>
        <charset val="1"/>
      </rPr>
      <t xml:space="preserve">(vicinity); space=vicinity; date=last_month; time=083000-100000; metric=rpm; aggregation=avg</t>
    </r>
  </si>
  <si>
    <t xml:space="preserve">aug300-183</t>
  </si>
  <si>
    <t xml:space="preserve">184</t>
  </si>
  <si>
    <r>
      <rPr>
        <sz val="11"/>
        <color theme="1"/>
        <rFont val="Noto Sans CJK SC"/>
        <family val="2"/>
      </rPr>
      <t xml:space="preserve">휴일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scope:gz:3982 </t>
    </r>
    <r>
      <rPr>
        <sz val="11"/>
        <color theme="1"/>
        <rFont val="Noto Sans CJK SC"/>
        <family val="2"/>
      </rPr>
      <t xml:space="preserve">기준 속도 중간값이 얼마야</t>
    </r>
    <r>
      <rPr>
        <sz val="11"/>
        <color theme="1"/>
        <rFont val="맑은 고딕"/>
        <family val="0"/>
        <charset val="1"/>
      </rPr>
      <t xml:space="preserve">?</t>
    </r>
  </si>
  <si>
    <t xml:space="preserve">get_passage_metrics(metric=speed, scope=scope:gz:3982, date=holiday, time=000000-040000, aggregation=med)</t>
  </si>
  <si>
    <t xml:space="preserve">spatial_ref=scope:gz:3982; space=direct_scope; date=holiday; time=000000-040000; metric=speed; aggregation=med</t>
  </si>
  <si>
    <t xml:space="preserve">aug300-184</t>
  </si>
  <si>
    <t xml:space="preserve">185</t>
  </si>
  <si>
    <r>
      <rPr>
        <sz val="11"/>
        <color theme="1"/>
        <rFont val="Noto Sans CJK SC"/>
        <family val="2"/>
      </rPr>
      <t xml:space="preserve">이번 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중구의 최소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값을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</si>
  <si>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get_passage_metrics(metric=rpm, scope=$resolve.scope, date=this_week, time=180000-200000,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</si>
  <si>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; space=admin; date=this_week; time=180000-200000; metric=rpm; aggregation=min</t>
    </r>
  </si>
  <si>
    <t xml:space="preserve">aug300-185</t>
  </si>
  <si>
    <t xml:space="preserve">aux_test_v1 final_v12/f22</t>
  </si>
  <si>
    <t xml:space="preserve">186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</si>
  <si>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광안동의 최대 속도는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</si>
  <si>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get_passage_metrics(metric=speed, scope=$resolve.scope, date=20260602, time=180000-200000,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</si>
  <si>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맑은 고딕"/>
        <family val="0"/>
        <charset val="1"/>
      </rPr>
      <t xml:space="preserve">; space=admin; date=20260602; time=180000-200000; metric=speed; aggregation=max</t>
    </r>
  </si>
  <si>
    <t xml:space="preserve">aug300-186</t>
  </si>
  <si>
    <t xml:space="preserve">187</t>
  </si>
  <si>
    <r>
      <rPr>
        <sz val="11"/>
        <color theme="1"/>
        <rFont val="Noto Sans CJK SC"/>
        <family val="2"/>
      </rPr>
      <t xml:space="preserve">대구 소속 택시의 평균 공차율은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</si>
  <si>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aggregation=avg)</t>
    </r>
  </si>
  <si>
    <t xml:space="preserve">DRIVE_RATIO</t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</si>
  <si>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; space=admin; aggregation=avg</t>
    </r>
  </si>
  <si>
    <t xml:space="preserve">aug300-187</t>
  </si>
  <si>
    <t xml:space="preserve">F011</t>
  </si>
  <si>
    <t xml:space="preserve">099</t>
  </si>
  <si>
    <t xml:space="preserve">selection_v2 old44/g21</t>
  </si>
  <si>
    <t xml:space="preserve">제외</t>
  </si>
  <si>
    <r>
      <rPr>
        <sz val="11"/>
        <color theme="1"/>
        <rFont val="맑은 고딕"/>
        <family val="0"/>
        <charset val="1"/>
      </rPr>
      <t xml:space="preserve">selection·valid·aux </t>
    </r>
    <r>
      <rPr>
        <sz val="11"/>
        <color theme="1"/>
        <rFont val="Noto Sans CJK SC"/>
        <family val="2"/>
      </rPr>
      <t xml:space="preserve">보호셋과 문자 </t>
    </r>
    <r>
      <rPr>
        <sz val="11"/>
        <color theme="1"/>
        <rFont val="맑은 고딕"/>
        <family val="0"/>
        <charset val="1"/>
      </rPr>
      <t xml:space="preserve">3-gram Jaccard ≥ 0.5(selection_v2 old44/g21, 0.857). </t>
    </r>
    <r>
      <rPr>
        <sz val="11"/>
        <color theme="1"/>
        <rFont val="Noto Sans CJK SC"/>
        <family val="2"/>
      </rPr>
      <t xml:space="preserve">학습</t>
    </r>
    <r>
      <rPr>
        <sz val="11"/>
        <color theme="1"/>
        <rFont val="맑은 고딕"/>
        <family val="0"/>
        <charset val="1"/>
      </rPr>
      <t xml:space="preserve">·holdout </t>
    </r>
    <r>
      <rPr>
        <sz val="11"/>
        <color theme="1"/>
        <rFont val="Noto Sans CJK SC"/>
        <family val="2"/>
      </rPr>
      <t xml:space="preserve">모두 쓰지 않음</t>
    </r>
  </si>
  <si>
    <t xml:space="preserve">188</t>
  </si>
  <si>
    <r>
      <rPr>
        <sz val="11"/>
        <color theme="1"/>
        <rFont val="Noto Sans CJK SC"/>
        <family val="2"/>
      </rPr>
      <t xml:space="preserve">부산 소속 법인택시 평균 공차율을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</si>
  <si>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taxi_type=corporate,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</si>
  <si>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taxi_type=corporate; aggregation=avg</t>
    </r>
  </si>
  <si>
    <t xml:space="preserve">aug300-188</t>
  </si>
  <si>
    <t xml:space="preserve">F010</t>
  </si>
  <si>
    <t xml:space="preserve">028</t>
  </si>
  <si>
    <t xml:space="preserve">selection_v2 old44/g23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</si>
  <si>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vendor100 028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</si>
  <si>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189</t>
  </si>
  <si>
    <r>
      <rPr>
        <sz val="11"/>
        <color theme="1"/>
        <rFont val="Noto Sans CJK SC"/>
        <family val="2"/>
      </rPr>
      <t xml:space="preserve">인천 소속 개인택시 기준 공차율 중간값이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</si>
  <si>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taxi_type=private,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</si>
  <si>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; space=admin; taxi_type=private; aggregation=med</t>
    </r>
  </si>
  <si>
    <t xml:space="preserve">aug300-189</t>
  </si>
  <si>
    <t xml:space="preserve">004</t>
  </si>
  <si>
    <t xml:space="preserve">selection_v2 old44/g22</t>
  </si>
  <si>
    <t xml:space="preserve">190</t>
  </si>
  <si>
    <r>
      <rPr>
        <sz val="11"/>
        <color theme="1"/>
        <rFont val="맑은 고딕"/>
        <family val="0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택시의 최대 공차율을 조회해줘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</si>
  <si>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get_drive_metrics(metric=vacant_ratio, scope=scope:district:2700000000, aggregation=max)</t>
  </si>
  <si>
    <t xml:space="preserve">spatial_ref=scope:district:2700000000; space=direct_scope; aggregation=max</t>
  </si>
  <si>
    <t xml:space="preserve">aug300-190</t>
  </si>
  <si>
    <t xml:space="preserve">F004</t>
  </si>
  <si>
    <t xml:space="preserve">191</t>
  </si>
  <si>
    <r>
      <rPr>
        <sz val="11"/>
        <color theme="1"/>
        <rFont val="맑은 고딕"/>
        <family val="0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택시의 최소 공차율은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</si>
  <si>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get_drive_metrics(metric=vacant_ratio, scope=scope:district:2600000000, aggregation=min)</t>
  </si>
  <si>
    <t xml:space="preserve">spatial_ref=scope:district:2600000000; space=direct_scope; aggregation=min</t>
  </si>
  <si>
    <t xml:space="preserve">aug300-191</t>
  </si>
  <si>
    <t xml:space="preserve">192</t>
  </si>
  <si>
    <r>
      <rPr>
        <sz val="11"/>
        <color theme="1"/>
        <rFont val="Noto Sans CJK SC"/>
        <family val="2"/>
      </rPr>
      <t xml:space="preserve">개인택시 평균 공차율을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</si>
  <si>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get_drive_metrics(metric=vacant_ratio, taxi_type=private, aggregation=avg)</t>
  </si>
  <si>
    <t xml:space="preserve">space=none; taxi_type=private; aggregation=avg</t>
  </si>
  <si>
    <t xml:space="preserve">global</t>
  </si>
  <si>
    <t xml:space="preserve">aug300-192</t>
  </si>
  <si>
    <t xml:space="preserve">F005</t>
  </si>
  <si>
    <t xml:space="preserve">agg_explicit, global</t>
  </si>
  <si>
    <t xml:space="preserve">045</t>
  </si>
  <si>
    <t xml:space="preserve">valid98 heldout_v9/h45</t>
  </si>
  <si>
    <t xml:space="preserve">193</t>
  </si>
  <si>
    <r>
      <rPr>
        <sz val="11"/>
        <color theme="1"/>
        <rFont val="Noto Sans CJK SC"/>
        <family val="2"/>
      </rPr>
      <t xml:space="preserve">법인택시 기준 평균 공차율이 얼마야</t>
    </r>
    <r>
      <rPr>
        <sz val="11"/>
        <color theme="1"/>
        <rFont val="맑은 고딕"/>
        <family val="0"/>
        <charset val="1"/>
      </rPr>
      <t xml:space="preserve">?</t>
    </r>
  </si>
  <si>
    <t xml:space="preserve">get_drive_metrics(metric=vacant_ratio, taxi_type=corporate, aggregation=avg)</t>
  </si>
  <si>
    <t xml:space="preserve">space=none; taxi_type=corporate; aggregation=avg</t>
  </si>
  <si>
    <t xml:space="preserve">aug300-193</t>
  </si>
  <si>
    <t xml:space="preserve">selection_v2 indepv4/k23</t>
  </si>
  <si>
    <t xml:space="preserve">194</t>
  </si>
  <si>
    <r>
      <rPr>
        <sz val="11"/>
        <color theme="1"/>
        <rFont val="Noto Sans CJK SC"/>
        <family val="2"/>
      </rPr>
      <t xml:space="preserve">서울 소속 택시의 공차율 중간값을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</si>
  <si>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</si>
  <si>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; space=admin; aggregation=med</t>
    </r>
  </si>
  <si>
    <t xml:space="preserve">aug300-194</t>
  </si>
  <si>
    <t xml:space="preserve">valid98 heldout_v8/r09</t>
  </si>
  <si>
    <t xml:space="preserve">195</t>
  </si>
  <si>
    <r>
      <rPr>
        <sz val="11"/>
        <color theme="1"/>
        <rFont val="Noto Sans CJK SC"/>
        <family val="2"/>
      </rPr>
      <t xml:space="preserve">대구 수성구 소속 개인택시의 평균 공차율은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</si>
  <si>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taxi_type=private,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</si>
  <si>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taxi_type=private; aggregation=avg</t>
    </r>
  </si>
  <si>
    <t xml:space="preserve">aug300-195</t>
  </si>
  <si>
    <t xml:space="preserve">F016</t>
  </si>
  <si>
    <r>
      <rPr>
        <sz val="11"/>
        <color theme="1"/>
        <rFont val="맑은 고딕"/>
        <family val="0"/>
        <charset val="1"/>
      </rPr>
      <t xml:space="preserve">vendor100 045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0.619.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</si>
  <si>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196</t>
  </si>
  <si>
    <r>
      <rPr>
        <sz val="11"/>
        <color theme="1"/>
        <rFont val="Noto Sans CJK SC"/>
        <family val="2"/>
      </rPr>
      <t xml:space="preserve">대구 달서구 소속 법인택시 최대 공차율을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</si>
  <si>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taxi_type=corporate,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</si>
  <si>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taxi_type=corporate; aggregation=max</t>
    </r>
  </si>
  <si>
    <t xml:space="preserve">aug300-196</t>
  </si>
  <si>
    <t xml:space="preserve">selection_v2 indepv4/k13</t>
  </si>
  <si>
    <t xml:space="preserve">197</t>
  </si>
  <si>
    <r>
      <rPr>
        <sz val="11"/>
        <color theme="1"/>
        <rFont val="Noto Sans CJK SC"/>
        <family val="2"/>
      </rPr>
      <t xml:space="preserve">대구 동구 소속 택시 기준 최소 공차율이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</si>
  <si>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</si>
  <si>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; space=admin; aggregation=min</t>
    </r>
  </si>
  <si>
    <t xml:space="preserve">aug300-197</t>
  </si>
  <si>
    <t xml:space="preserve">F017</t>
  </si>
  <si>
    <t xml:space="preserve">086</t>
  </si>
  <si>
    <t xml:space="preserve">valid98 heldout_v9/h41</t>
  </si>
  <si>
    <t xml:space="preserve">198</t>
  </si>
  <si>
    <r>
      <rPr>
        <sz val="11"/>
        <color theme="1"/>
        <rFont val="Noto Sans CJK SC"/>
        <family val="2"/>
      </rPr>
      <t xml:space="preserve">부산 부산진구 소속 택시의 평균 공차율을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</si>
  <si>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</si>
  <si>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; space=admin; aggregation=avg</t>
    </r>
  </si>
  <si>
    <t xml:space="preserve">aug300-198</t>
  </si>
  <si>
    <t xml:space="preserve">199</t>
  </si>
  <si>
    <r>
      <rPr>
        <sz val="11"/>
        <color theme="1"/>
        <rFont val="Noto Sans CJK SC"/>
        <family val="2"/>
      </rPr>
      <t xml:space="preserve">부산 수영구 소속 법인택시의 공차율 중간값은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</si>
  <si>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taxi_type=corporate,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</si>
  <si>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; space=admin; taxi_type=corporate; aggregation=med</t>
    </r>
  </si>
  <si>
    <t xml:space="preserve">aug300-199</t>
  </si>
  <si>
    <t xml:space="preserve">selection_v2 old44/g20</t>
  </si>
  <si>
    <t xml:space="preserve">200</t>
  </si>
  <si>
    <r>
      <rPr>
        <sz val="11"/>
        <color theme="1"/>
        <rFont val="Noto Sans CJK SC"/>
        <family val="2"/>
      </rPr>
      <t xml:space="preserve">지난주 대구 소속 개인택시의 평균 공차율은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</si>
  <si>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date=last_week, taxi_type=private,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</si>
  <si>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; space=admin; date=last_week; taxi_type=private; aggregation=avg</t>
    </r>
  </si>
  <si>
    <t xml:space="preserve">aug300-200</t>
  </si>
  <si>
    <t xml:space="preserve">F007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</si>
  <si>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vendor100 045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; vendor100 045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1.000.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</si>
  <si>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201</t>
  </si>
  <si>
    <r>
      <rPr>
        <sz val="11"/>
        <color theme="1"/>
        <rFont val="Noto Sans CJK SC"/>
        <family val="2"/>
      </rPr>
      <t xml:space="preserve">이번 달 부산 소속 법인택시 최대 공차율을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</si>
  <si>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date=this_month, taxi_type=corporate,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</si>
  <si>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date=this_month; taxi_type=corporate; aggregation=max</t>
    </r>
  </si>
  <si>
    <t xml:space="preserve">aug300-201</t>
  </si>
  <si>
    <t xml:space="preserve">202</t>
  </si>
  <si>
    <r>
      <rPr>
        <sz val="11"/>
        <color theme="1"/>
        <rFont val="Noto Sans CJK SC"/>
        <family val="2"/>
      </rPr>
      <t xml:space="preserve">이번 주 서울 소속 택시 기준 최소 공차율이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</si>
  <si>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date=this_week,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</si>
  <si>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; space=admin; date=this_week; aggregation=min</t>
    </r>
  </si>
  <si>
    <t xml:space="preserve">aug300-202</t>
  </si>
  <si>
    <t xml:space="preserve">F009</t>
  </si>
  <si>
    <t xml:space="preserve">090</t>
  </si>
  <si>
    <t xml:space="preserve">203</t>
  </si>
  <si>
    <r>
      <rPr>
        <sz val="11"/>
        <color theme="1"/>
        <rFont val="Noto Sans CJK SC"/>
        <family val="2"/>
      </rPr>
      <t xml:space="preserve">주말 인천 소속 개인택시의 공차율 중간값을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</si>
  <si>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date=weekend, taxi_type=private,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</si>
  <si>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; space=admin; date=weekend; taxi_type=private; aggregation=med</t>
    </r>
  </si>
  <si>
    <t xml:space="preserve">aug300-203</t>
  </si>
  <si>
    <r>
      <rPr>
        <sz val="11"/>
        <color theme="1"/>
        <rFont val="맑은 고딕"/>
        <family val="0"/>
        <charset val="1"/>
      </rPr>
      <t xml:space="preserve">vendor100 004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0.520.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</si>
  <si>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204</t>
  </si>
  <si>
    <r>
      <rPr>
        <sz val="11"/>
        <color theme="1"/>
        <rFont val="Noto Sans CJK SC"/>
        <family val="2"/>
      </rPr>
      <t xml:space="preserve">지난달 대구 수성구 소속 법인택시의 평균 공차율은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</si>
  <si>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date=last_month, taxi_type=corporate,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</si>
  <si>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date=last_month; taxi_type=corporate; aggregation=avg</t>
    </r>
  </si>
  <si>
    <t xml:space="preserve">aug300-204</t>
  </si>
  <si>
    <t xml:space="preserve">F013</t>
  </si>
  <si>
    <r>
      <rPr>
        <sz val="11"/>
        <color theme="1"/>
        <rFont val="맑은 고딕"/>
        <family val="0"/>
        <charset val="1"/>
      </rPr>
      <t xml:space="preserve">vendor100 028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0.545.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</si>
  <si>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205</t>
  </si>
  <si>
    <r>
      <rPr>
        <sz val="11"/>
        <color theme="1"/>
        <rFont val="Noto Sans CJK SC"/>
        <family val="2"/>
      </rPr>
      <t xml:space="preserve">주중 대구 달서구 소속 개인택시 최대 공차율을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</si>
  <si>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date=weekday, taxi_type=private,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</si>
  <si>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date=weekday; taxi_type=private; aggregation=max</t>
    </r>
  </si>
  <si>
    <t xml:space="preserve">aug300-205</t>
  </si>
  <si>
    <t xml:space="preserve">selection_v2 old44/g41</t>
  </si>
  <si>
    <t xml:space="preserve">206</t>
  </si>
  <si>
    <r>
      <rPr>
        <sz val="11"/>
        <color theme="1"/>
        <rFont val="Noto Sans CJK SC"/>
        <family val="2"/>
      </rPr>
      <t xml:space="preserve">휴일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택시 기준 최소 공차율이 얼마야</t>
    </r>
    <r>
      <rPr>
        <sz val="11"/>
        <color theme="1"/>
        <rFont val="맑은 고딕"/>
        <family val="0"/>
        <charset val="1"/>
      </rPr>
      <t xml:space="preserve">?</t>
    </r>
  </si>
  <si>
    <t xml:space="preserve">get_drive_metrics(metric=vacant_ratio, scope=scope:district:2700000000, date=holiday, time=180000-200000, aggregation=min)</t>
  </si>
  <si>
    <t xml:space="preserve">spatial_ref=scope:district:2700000000; space=direct_scope; date=holiday; time=180000-200000; aggregation=min</t>
  </si>
  <si>
    <t xml:space="preserve">aug300-206</t>
  </si>
  <si>
    <t xml:space="preserve">F002</t>
  </si>
  <si>
    <t xml:space="preserve">207</t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</si>
  <si>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법인택시의 평균 공차율을 조회해줘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</si>
  <si>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get_drive_metrics(metric=vacant_ratio, scope=scope:district:2600000000, date=weekend, time=180000-200000, taxi_type=corporate, aggregation=avg)</t>
  </si>
  <si>
    <t xml:space="preserve">spatial_ref=scope:district:2600000000; space=direct_scope; date=weekend; time=180000-200000; taxi_type=corporate; aggregation=avg</t>
  </si>
  <si>
    <t xml:space="preserve">aug300-207</t>
  </si>
  <si>
    <t xml:space="preserve">F001</t>
  </si>
  <si>
    <t xml:space="preserve">036</t>
  </si>
  <si>
    <t xml:space="preserve">208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</si>
  <si>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대구 중구 소속 택시의 공차율 중간값은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</si>
  <si>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date=20260602, time=070000-090000,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</si>
  <si>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; space=admin; date=20260602; time=070000-090000; aggregation=med</t>
    </r>
  </si>
  <si>
    <t xml:space="preserve">aug300-208</t>
  </si>
  <si>
    <t xml:space="preserve">F014</t>
  </si>
  <si>
    <t xml:space="preserve">209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</si>
  <si>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대구 동구 소속 개인택시 평균 공차율을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</si>
  <si>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date=20260603, taxi_type=private,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</si>
  <si>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; space=admin; date=20260603; taxi_type=private; aggregation=avg</t>
    </r>
  </si>
  <si>
    <t xml:space="preserve">aug300-209</t>
  </si>
  <si>
    <t xml:space="preserve">210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</si>
  <si>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부산진구 소속 법인택시 기준 최대 공차율이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</si>
  <si>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date=20260605, time=180000-200000, taxi_type=corporate,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</si>
  <si>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; space=admin; date=20260605; time=180000-200000; taxi_type=corporate; aggregation=max</t>
    </r>
  </si>
  <si>
    <t xml:space="preserve">aug300-210</t>
  </si>
  <si>
    <t xml:space="preserve">F012</t>
  </si>
  <si>
    <t xml:space="preserve">211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</si>
  <si>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일까지 부산 수영구 소속 택시의 최소 공차율을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</si>
  <si>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date=20260601-20260605,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</si>
  <si>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; space=admin; date=20260601-20260605; aggregation=min</t>
    </r>
  </si>
  <si>
    <t xml:space="preserve">aug300-211</t>
  </si>
  <si>
    <t xml:space="preserve">F015</t>
  </si>
  <si>
    <t xml:space="preserve">212</t>
  </si>
  <si>
    <r>
      <rPr>
        <sz val="11"/>
        <color theme="1"/>
        <rFont val="Noto Sans CJK SC"/>
        <family val="2"/>
      </rPr>
      <t xml:space="preserve">지난주 개인택시의 평균 공차율은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</si>
  <si>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get_drive_metrics(metric=vacant_ratio, date=last_week, taxi_type=private, aggregation=avg)</t>
  </si>
  <si>
    <t xml:space="preserve">space=none; date=last_week; taxi_type=private; aggregation=avg</t>
  </si>
  <si>
    <t xml:space="preserve">aug300-212</t>
  </si>
  <si>
    <t xml:space="preserve">F003</t>
  </si>
  <si>
    <r>
      <rPr>
        <sz val="11"/>
        <color theme="1"/>
        <rFont val="맑은 고딕"/>
        <family val="0"/>
        <charset val="1"/>
      </rPr>
      <t xml:space="preserve">vendor100 045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0.579.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</si>
  <si>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213</t>
  </si>
  <si>
    <r>
      <rPr>
        <sz val="11"/>
        <color theme="1"/>
        <rFont val="Noto Sans CJK SC"/>
        <family val="2"/>
      </rPr>
      <t xml:space="preserve">이번 달 법인택시 공차율 중간값을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</si>
  <si>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get_drive_metrics(metric=vacant_ratio, date=this_month, taxi_type=corporate, aggregation=med)</t>
  </si>
  <si>
    <t xml:space="preserve">space=none; date=this_month; taxi_type=corporate; aggregation=med</t>
  </si>
  <si>
    <t xml:space="preserve">aug300-213</t>
  </si>
  <si>
    <t xml:space="preserve">214</t>
  </si>
  <si>
    <r>
      <rPr>
        <sz val="11"/>
        <color theme="1"/>
        <rFont val="Noto Sans CJK SC"/>
        <family val="2"/>
      </rPr>
      <t xml:space="preserve">지난달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서울 소속 택시 기준 평균 공차율이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</si>
  <si>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date=last_month, time=180000-200000,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</si>
  <si>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; space=admin; date=last_month; time=180000-200000; aggregation=avg</t>
    </r>
  </si>
  <si>
    <t xml:space="preserve">aug300-214</t>
  </si>
  <si>
    <t xml:space="preserve">F008</t>
  </si>
  <si>
    <t xml:space="preserve">215</t>
  </si>
  <si>
    <r>
      <rPr>
        <sz val="11"/>
        <color theme="1"/>
        <rFont val="Noto Sans CJK SC"/>
        <family val="2"/>
      </rPr>
      <t xml:space="preserve">이번 주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인천 소속 개인택시의 최대 공차율을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</si>
  <si>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date=this_week, time=070000-090000, taxi_type=private,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</si>
  <si>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; space=admin; date=this_week; time=070000-090000; taxi_type=private; aggregation=max</t>
    </r>
  </si>
  <si>
    <t xml:space="preserve">aug300-215</t>
  </si>
  <si>
    <t xml:space="preserve">F006</t>
  </si>
  <si>
    <t xml:space="preserve">valid98 heldout_v9/h21</t>
  </si>
  <si>
    <t xml:space="preserve">216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</si>
  <si>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scope:district:2726000000 </t>
    </r>
    <r>
      <rPr>
        <sz val="11"/>
        <color theme="1"/>
        <rFont val="Noto Sans CJK SC"/>
        <family val="2"/>
      </rPr>
      <t xml:space="preserve">소속 법인택시의 공차율 중간값은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</si>
  <si>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get_drive_metrics(metric=vacant_ratio, scope=scope:district:2726000000, date=weekend, time=083000-100000, taxi_type=corporate, aggregation=med)</t>
  </si>
  <si>
    <t xml:space="preserve">spatial_ref=scope:district:2726000000; space=direct_scope; date=weekend; time=083000-100000; taxi_type=corporate; aggregation=med</t>
  </si>
  <si>
    <t xml:space="preserve">aug300-216</t>
  </si>
  <si>
    <t xml:space="preserve">217</t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</si>
  <si>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소속 법인택시의 공차율 중간값은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</si>
  <si>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date=weekend, time=180000-200000, taxi_type=corporate,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</si>
  <si>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; space=admin; date=weekend; time=180000-200000; taxi_type=corporate; aggregation=med</t>
    </r>
  </si>
  <si>
    <t xml:space="preserve">aug300-217</t>
  </si>
  <si>
    <t xml:space="preserve">218</t>
  </si>
  <si>
    <r>
      <rPr>
        <sz val="11"/>
        <color theme="1"/>
        <rFont val="Noto Sans CJK SC"/>
        <family val="2"/>
      </rPr>
      <t xml:space="preserve">주중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부산 소속 개인택시 평균 공차율을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</si>
  <si>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date=weekday, time=070000-090000, taxi_type=private,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</si>
  <si>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date=weekday; time=070000-090000; taxi_type=private; aggregation=avg</t>
    </r>
  </si>
  <si>
    <t xml:space="preserve">aug300-218</t>
  </si>
  <si>
    <t xml:space="preserve">219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</si>
  <si>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서울 소속 법인택시 기준 최대 공차율이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</si>
  <si>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date=20260602, time=180000-200000, taxi_type=corporate,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</si>
  <si>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; space=admin; date=20260602; time=180000-200000; taxi_type=corporate; aggregation=max</t>
    </r>
  </si>
  <si>
    <t xml:space="preserve">aug300-219</t>
  </si>
  <si>
    <t xml:space="preserve">220</t>
  </si>
  <si>
    <r>
      <rPr>
        <sz val="11"/>
        <color theme="1"/>
        <rFont val="Noto Sans CJK SC"/>
        <family val="2"/>
      </rPr>
      <t xml:space="preserve">휴일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인천 소속 개인택시의 최소 공차율을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</si>
  <si>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date=holiday, time=000000-040000, taxi_type=private,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</si>
  <si>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; space=admin; date=holiday; time=000000-040000; taxi_type=private; aggregation=min</t>
    </r>
  </si>
  <si>
    <t xml:space="preserve">aug300-220</t>
  </si>
  <si>
    <t xml:space="preserve">selection_v2 old44/g17</t>
  </si>
  <si>
    <t xml:space="preserve">221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</si>
  <si>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일까지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수성구 소속 법인택시의 평균 공차율은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</si>
  <si>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date=20260601-20260605, time=180000-200000, taxi_type=corporate,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</si>
  <si>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date=20260601-20260605; time=180000-200000; taxi_type=corporate; aggregation=avg</t>
    </r>
  </si>
  <si>
    <t xml:space="preserve">aug300-221</t>
  </si>
  <si>
    <t xml:space="preserve">222</t>
  </si>
  <si>
    <r>
      <rPr>
        <sz val="11"/>
        <color theme="1"/>
        <rFont val="Noto Sans CJK SC"/>
        <family val="2"/>
      </rPr>
      <t xml:space="preserve">지난주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대구 달서구 소속 개인택시 공차율 중간값을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</si>
  <si>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date=last_week, time=083000-100000, taxi_type=private,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</si>
  <si>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date=last_week; time=083000-100000; taxi_type=private; aggregation=med</t>
    </r>
  </si>
  <si>
    <t xml:space="preserve">aug300-222</t>
  </si>
  <si>
    <t xml:space="preserve">223</t>
  </si>
  <si>
    <r>
      <rPr>
        <sz val="11"/>
        <color theme="1"/>
        <rFont val="Noto Sans CJK SC"/>
        <family val="2"/>
      </rPr>
      <t xml:space="preserve">이번 달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개인택시 기준 최대 공차율이 얼마야</t>
    </r>
    <r>
      <rPr>
        <sz val="11"/>
        <color theme="1"/>
        <rFont val="맑은 고딕"/>
        <family val="0"/>
        <charset val="1"/>
      </rPr>
      <t xml:space="preserve">?</t>
    </r>
  </si>
  <si>
    <t xml:space="preserve">get_drive_metrics(metric=vacant_ratio, scope=scope:district:2700000000, date=this_month, time=070000-090000, taxi_type=private, aggregation=max)</t>
  </si>
  <si>
    <t xml:space="preserve">spatial_ref=scope:district:2700000000; space=direct_scope; date=this_month; time=070000-090000; taxi_type=private; aggregation=max</t>
  </si>
  <si>
    <t xml:space="preserve">aug300-223</t>
  </si>
  <si>
    <t xml:space="preserve">224</t>
  </si>
  <si>
    <r>
      <rPr>
        <sz val="11"/>
        <color theme="1"/>
        <rFont val="Noto Sans CJK SC"/>
        <family val="2"/>
      </rPr>
      <t xml:space="preserve">지난달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법인택시의 최소 공차율을 조회해줘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</si>
  <si>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get_drive_metrics(metric=vacant_ratio, scope=scope:district:2600000000, date=last_month, time=180000-200000, taxi_type=corporate, aggregation=min)</t>
  </si>
  <si>
    <t xml:space="preserve">spatial_ref=scope:district:2600000000; space=direct_scope; date=last_month; time=180000-200000; taxi_type=corporate; aggregation=min</t>
  </si>
  <si>
    <t xml:space="preserve">aug300-224</t>
  </si>
  <si>
    <t xml:space="preserve">225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</si>
  <si>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대구 중구 소속 개인택시의 평균 공차율은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</si>
  <si>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date=20260605, time=000000-040000, taxi_type=private,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</si>
  <si>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; space=admin; date=20260605; time=000000-040000; taxi_type=private; aggregation=avg</t>
    </r>
  </si>
  <si>
    <t xml:space="preserve">aug300-225</t>
  </si>
  <si>
    <r>
      <rPr>
        <sz val="11"/>
        <color theme="1"/>
        <rFont val="맑은 고딕"/>
        <family val="0"/>
        <charset val="1"/>
      </rPr>
      <t xml:space="preserve">vendor100 039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0.581.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</si>
  <si>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226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</si>
  <si>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동구 소속 법인택시 공차율 중간값을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</si>
  <si>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date=20260603, time=180000-200000, taxi_type=corporate,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</si>
  <si>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; space=admin; date=20260603; time=180000-200000; taxi_type=corporate; aggregation=med</t>
    </r>
  </si>
  <si>
    <t xml:space="preserve">aug300-226</t>
  </si>
  <si>
    <t xml:space="preserve">227</t>
  </si>
  <si>
    <r>
      <rPr>
        <sz val="11"/>
        <color theme="1"/>
        <rFont val="Noto Sans CJK SC"/>
        <family val="2"/>
      </rPr>
      <t xml:space="preserve">이번 주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부산 부산진구 소속 개인택시 기준 최대 공차율이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</si>
  <si>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date=this_week, time=083000-100000, taxi_type=private,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</si>
  <si>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; space=admin; date=this_week; time=083000-100000; taxi_type=private; aggregation=max</t>
    </r>
  </si>
  <si>
    <t xml:space="preserve">aug300-227</t>
  </si>
  <si>
    <t xml:space="preserve">228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</si>
  <si>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부산 수영구 소속 법인택시의 최소 공차율을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</si>
  <si>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get_drive_metrics(metric=vacant_ratio, scope=$resolve.scope, date=20260602, time=000000-040000, taxi_type=corporate,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</si>
  <si>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; space=admin; date=20260602; time=000000-040000; taxi_type=corporate; aggregation=min</t>
    </r>
  </si>
  <si>
    <t xml:space="preserve">aug300-228</t>
  </si>
  <si>
    <t xml:space="preserve">229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</si>
  <si>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scope:district:2726000000 </t>
    </r>
    <r>
      <rPr>
        <sz val="11"/>
        <color theme="1"/>
        <rFont val="Noto Sans CJK SC"/>
        <family val="2"/>
      </rPr>
      <t xml:space="preserve">소속 택시의 평균 공차율은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</si>
  <si>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get_drive_metrics(metric=vacant_ratio, scope=scope:district:2726000000, date=weekend, time=070000-090000, aggregation=avg)</t>
  </si>
  <si>
    <t xml:space="preserve">spatial_ref=scope:district:2726000000; space=direct_scope; date=weekend; time=070000-090000; aggregation=avg</t>
  </si>
  <si>
    <t xml:space="preserve">aug300-229</t>
  </si>
  <si>
    <t xml:space="preserve">230</t>
  </si>
  <si>
    <r>
      <rPr>
        <sz val="11"/>
        <color theme="1"/>
        <rFont val="Noto Sans CJK SC"/>
        <family val="2"/>
      </rPr>
      <t xml:space="preserve">대구 소속 택시의 평균 요금은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</si>
  <si>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get_trip_metrics(metric=fare, scope=$resolve.scope, aggregation=avg)</t>
    </r>
  </si>
  <si>
    <t xml:space="preserve">TRIP_FARE</t>
  </si>
  <si>
    <t xml:space="preserve">aug300-230</t>
  </si>
  <si>
    <t xml:space="preserve">F110</t>
  </si>
  <si>
    <r>
      <rPr>
        <sz val="11"/>
        <color theme="1"/>
        <rFont val="맑은 고딕"/>
        <family val="0"/>
        <charset val="1"/>
      </rPr>
      <t xml:space="preserve">vendor100 086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0.846.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</si>
  <si>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231</t>
  </si>
  <si>
    <r>
      <rPr>
        <sz val="11"/>
        <color theme="1"/>
        <rFont val="Noto Sans CJK SC"/>
        <family val="2"/>
      </rPr>
      <t xml:space="preserve">부산 소속 택시의 요금 중간값을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</si>
  <si>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get_trip_metrics(metric=fare, scope=$resolve.scope,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</si>
  <si>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aggregation=med</t>
    </r>
  </si>
  <si>
    <t xml:space="preserve">aug300-231</t>
  </si>
  <si>
    <t xml:space="preserve">061</t>
  </si>
  <si>
    <r>
      <rPr>
        <sz val="11"/>
        <color theme="1"/>
        <rFont val="맑은 고딕"/>
        <family val="0"/>
        <charset val="1"/>
      </rPr>
      <t xml:space="preserve">vendor100 061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0.500.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</si>
  <si>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232</t>
  </si>
  <si>
    <r>
      <rPr>
        <sz val="11"/>
        <color theme="1"/>
        <rFont val="Noto Sans CJK SC"/>
        <family val="2"/>
      </rPr>
      <t xml:space="preserve">서울 소속 택시의 최대 요금이 얼마인지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</si>
  <si>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)
get_trip_metrics(metric=fare, scope=$resolve.scope,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</si>
  <si>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; space=admin; aggregation=max</t>
    </r>
  </si>
  <si>
    <t xml:space="preserve">aug300-232</t>
  </si>
  <si>
    <t xml:space="preserve">052</t>
  </si>
  <si>
    <t xml:space="preserve">selection_v2 old44/g19</t>
  </si>
  <si>
    <t xml:space="preserve">233</t>
  </si>
  <si>
    <r>
      <rPr>
        <sz val="11"/>
        <color theme="1"/>
        <rFont val="Noto Sans CJK SC"/>
        <family val="2"/>
      </rPr>
      <t xml:space="preserve">인천 소속 택시의 최소 요금을 확인해줘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</si>
  <si>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)
get_trip_metrics(metric=fare, scope=$resolve.scope,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</si>
  <si>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; space=admin; aggregation=min</t>
    </r>
  </si>
  <si>
    <t xml:space="preserve">aug300-233</t>
  </si>
  <si>
    <t xml:space="preserve">021</t>
  </si>
  <si>
    <t xml:space="preserve">234</t>
  </si>
  <si>
    <r>
      <rPr>
        <sz val="11"/>
        <color theme="1"/>
        <rFont val="Noto Sans CJK SC"/>
        <family val="2"/>
      </rPr>
      <t xml:space="preserve">대구 수성구 소속 택시의 평균 요금은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</si>
  <si>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get_trip_metrics(metric=fare, scope=$resolve.scope,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</si>
  <si>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aggregation=avg</t>
    </r>
  </si>
  <si>
    <t xml:space="preserve">aug300-234</t>
  </si>
  <si>
    <t xml:space="preserve">F113</t>
  </si>
  <si>
    <r>
      <rPr>
        <sz val="11"/>
        <color theme="1"/>
        <rFont val="맑은 고딕"/>
        <family val="0"/>
        <charset val="1"/>
      </rPr>
      <t xml:space="preserve">vendor100 086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0.588.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</si>
  <si>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235</t>
  </si>
  <si>
    <r>
      <rPr>
        <sz val="11"/>
        <color theme="1"/>
        <rFont val="Noto Sans CJK SC"/>
        <family val="2"/>
      </rPr>
      <t xml:space="preserve">대구 달서구 소속 택시의 총 요금을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</si>
  <si>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get_trip_metrics(metric=fare, scope=$resolve.scope, aggregation=sum)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</si>
  <si>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aggregation=sum</t>
    </r>
  </si>
  <si>
    <t xml:space="preserve">aug300-235</t>
  </si>
  <si>
    <t xml:space="preserve">aux_test_v1 at/t05d</t>
  </si>
  <si>
    <t xml:space="preserve">236</t>
  </si>
  <si>
    <r>
      <rPr>
        <sz val="11"/>
        <color theme="1"/>
        <rFont val="맑은 고딕"/>
        <family val="0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택시의 요금 중간값이 얼마인지 조회해줘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</si>
  <si>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get_trip_metrics(metric=fare, scope=scope:district:2700000000, aggregation=med)</t>
  </si>
  <si>
    <t xml:space="preserve">spatial_ref=scope:district:2700000000; space=direct_scope; aggregation=med</t>
  </si>
  <si>
    <t xml:space="preserve">aug300-236</t>
  </si>
  <si>
    <t xml:space="preserve">F116</t>
  </si>
  <si>
    <t xml:space="preserve">237</t>
  </si>
  <si>
    <r>
      <rPr>
        <sz val="11"/>
        <color theme="1"/>
        <rFont val="맑은 고딕"/>
        <family val="0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택시의 최대 요금을 확인해줘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</si>
  <si>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get_trip_metrics(metric=fare, scope=scope:district:2600000000, aggregation=max)</t>
  </si>
  <si>
    <t xml:space="preserve">spatial_ref=scope:district:2600000000; space=direct_scope; aggregation=max</t>
  </si>
  <si>
    <t xml:space="preserve">aug300-237</t>
  </si>
  <si>
    <t xml:space="preserve">238</t>
  </si>
  <si>
    <r>
      <rPr>
        <sz val="11"/>
        <color theme="1"/>
        <rFont val="Noto Sans CJK SC"/>
        <family val="2"/>
      </rPr>
      <t xml:space="preserve">전체 택시의 최소 요금은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</si>
  <si>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get_trip_metrics(metric=fare, aggregation=min)</t>
  </si>
  <si>
    <t xml:space="preserve">space=none; aggregation=min</t>
  </si>
  <si>
    <t xml:space="preserve">aug300-238</t>
  </si>
  <si>
    <t xml:space="preserve">F117</t>
  </si>
  <si>
    <t xml:space="preserve">239</t>
  </si>
  <si>
    <r>
      <rPr>
        <sz val="11"/>
        <color theme="1"/>
        <rFont val="Noto Sans CJK SC"/>
        <family val="2"/>
      </rPr>
      <t xml:space="preserve">대구 중구 소속 택시의 평균 요금을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</si>
  <si>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get_trip_metrics(metric=fare, scope=$resolve.scope,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</si>
  <si>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; space=admin; aggregation=avg</t>
    </r>
  </si>
  <si>
    <t xml:space="preserve">aug300-239</t>
  </si>
  <si>
    <t xml:space="preserve">240</t>
  </si>
  <si>
    <r>
      <rPr>
        <sz val="11"/>
        <color theme="1"/>
        <rFont val="Noto Sans CJK SC"/>
        <family val="2"/>
      </rPr>
      <t xml:space="preserve">부산 부산진구 소속 택시의 총 요금이 얼마인지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</si>
  <si>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get_trip_metrics(metric=fare, scope=$resolve.scope, aggregation=sum)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</si>
  <si>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; space=admin; aggregation=sum</t>
    </r>
  </si>
  <si>
    <t xml:space="preserve">aug300-240</t>
  </si>
  <si>
    <t xml:space="preserve">241</t>
  </si>
  <si>
    <r>
      <rPr>
        <sz val="11"/>
        <color theme="1"/>
        <rFont val="Noto Sans CJK SC"/>
        <family val="2"/>
      </rPr>
      <t xml:space="preserve">부산 수영구 소속 택시의 요금 중간값을 확인해줘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</si>
  <si>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get_trip_metrics(metric=fare, scope=$resolve.scope,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</si>
  <si>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; space=admin; aggregation=med</t>
    </r>
  </si>
  <si>
    <t xml:space="preserve">aug300-241</t>
  </si>
  <si>
    <t xml:space="preserve">062</t>
  </si>
  <si>
    <t xml:space="preserve">242</t>
  </si>
  <si>
    <r>
      <rPr>
        <sz val="11"/>
        <color theme="1"/>
        <rFont val="Noto Sans CJK SC"/>
        <family val="2"/>
      </rPr>
      <t xml:space="preserve">대구 동구 소속 택시의 최대 요금은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</si>
  <si>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get_trip_metrics(metric=fare, scope=$resolve.scope,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</si>
  <si>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; space=admin; aggregation=max</t>
    </r>
  </si>
  <si>
    <t xml:space="preserve">aug300-242</t>
  </si>
  <si>
    <r>
      <rPr>
        <sz val="11"/>
        <color theme="1"/>
        <rFont val="맑은 고딕"/>
        <family val="0"/>
        <charset val="1"/>
      </rPr>
      <t xml:space="preserve">selection·valid·aux </t>
    </r>
    <r>
      <rPr>
        <sz val="11"/>
        <color theme="1"/>
        <rFont val="Noto Sans CJK SC"/>
        <family val="2"/>
      </rPr>
      <t xml:space="preserve">보호셋과 문자 </t>
    </r>
    <r>
      <rPr>
        <sz val="11"/>
        <color theme="1"/>
        <rFont val="맑은 고딕"/>
        <family val="0"/>
        <charset val="1"/>
      </rPr>
      <t xml:space="preserve">3-gram Jaccard ≥ 0.5(selection_v2 old44/g19, 0.529). </t>
    </r>
    <r>
      <rPr>
        <sz val="11"/>
        <color theme="1"/>
        <rFont val="Noto Sans CJK SC"/>
        <family val="2"/>
      </rPr>
      <t xml:space="preserve">학습</t>
    </r>
    <r>
      <rPr>
        <sz val="11"/>
        <color theme="1"/>
        <rFont val="맑은 고딕"/>
        <family val="0"/>
        <charset val="1"/>
      </rPr>
      <t xml:space="preserve">·holdout </t>
    </r>
    <r>
      <rPr>
        <sz val="11"/>
        <color theme="1"/>
        <rFont val="Noto Sans CJK SC"/>
        <family val="2"/>
      </rPr>
      <t xml:space="preserve">모두 쓰지 않음</t>
    </r>
  </si>
  <si>
    <t xml:space="preserve">243</t>
  </si>
  <si>
    <r>
      <rPr>
        <sz val="11"/>
        <color theme="1"/>
        <rFont val="Noto Sans CJK SC"/>
        <family val="2"/>
      </rPr>
      <t xml:space="preserve">지난주 대구 소속 택시의 평균 요금은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</si>
  <si>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get_trip_metrics(metric=fare, scope=$resolve.scope, date=last_week,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</si>
  <si>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; space=admin; date=last_week; aggregation=avg</t>
    </r>
  </si>
  <si>
    <t xml:space="preserve">aug300-243</t>
  </si>
  <si>
    <t xml:space="preserve">F109</t>
  </si>
  <si>
    <t xml:space="preserve">valid98 heldout_v9/h34</t>
  </si>
  <si>
    <r>
      <rPr>
        <sz val="11"/>
        <color theme="1"/>
        <rFont val="맑은 고딕"/>
        <family val="0"/>
        <charset val="1"/>
      </rPr>
      <t xml:space="preserve">vendor100 086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0.688.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</si>
  <si>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244</t>
  </si>
  <si>
    <r>
      <rPr>
        <sz val="11"/>
        <color theme="1"/>
        <rFont val="Noto Sans CJK SC"/>
        <family val="2"/>
      </rPr>
      <t xml:space="preserve">이번 달 부산 소속 택시의 최대 요금을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</si>
  <si>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get_trip_metrics(metric=fare, scope=$resolve.scope, date=this_month,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</si>
  <si>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date=this_month; aggregation=max</t>
    </r>
  </si>
  <si>
    <t xml:space="preserve">aug300-244</t>
  </si>
  <si>
    <t xml:space="preserve">245</t>
  </si>
  <si>
    <r>
      <rPr>
        <sz val="11"/>
        <color theme="1"/>
        <rFont val="Noto Sans CJK SC"/>
        <family val="2"/>
      </rPr>
      <t xml:space="preserve">이번 주 서울 소속 택시의 요금 중간값이 얼마인지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</si>
  <si>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)
get_trip_metrics(metric=fare, scope=$resolve.scope, date=this_week,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</si>
  <si>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; space=admin; date=this_week; aggregation=med</t>
    </r>
  </si>
  <si>
    <t xml:space="preserve">aug300-245</t>
  </si>
  <si>
    <t xml:space="preserve">246</t>
  </si>
  <si>
    <r>
      <rPr>
        <sz val="11"/>
        <color theme="1"/>
        <rFont val="Noto Sans CJK SC"/>
        <family val="2"/>
      </rPr>
      <t xml:space="preserve">주말 인천 소속 택시의 최소 요금을 확인해줘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</si>
  <si>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)
get_trip_metrics(metric=fare, scope=$resolve.scope, date=weekend,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</si>
  <si>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; space=admin; date=weekend; aggregation=min</t>
    </r>
  </si>
  <si>
    <t xml:space="preserve">aug300-246</t>
  </si>
  <si>
    <t xml:space="preserve">247</t>
  </si>
  <si>
    <r>
      <rPr>
        <sz val="11"/>
        <color theme="1"/>
        <rFont val="Noto Sans CJK SC"/>
        <family val="2"/>
      </rPr>
      <t xml:space="preserve">지난달 대구 수성구 소속 택시의 총 요금은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</si>
  <si>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get_trip_metrics(metric=fare, scope=$resolve.scope, date=last_month, aggregation=sum)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</si>
  <si>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date=last_month; aggregation=sum</t>
    </r>
  </si>
  <si>
    <t xml:space="preserve">aug300-247</t>
  </si>
  <si>
    <t xml:space="preserve">F112</t>
  </si>
  <si>
    <t xml:space="preserve">248</t>
  </si>
  <si>
    <r>
      <rPr>
        <sz val="11"/>
        <color theme="1"/>
        <rFont val="Noto Sans CJK SC"/>
        <family val="2"/>
      </rPr>
      <t xml:space="preserve">주중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달서구 소속 택시의 평균 요금을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</si>
  <si>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get_trip_metrics(metric=fare, scope=$resolve.scope, date=weekday, time=180000-200000,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</si>
  <si>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date=weekday; time=180000-200000; aggregation=avg</t>
    </r>
  </si>
  <si>
    <t xml:space="preserve">aug300-248</t>
  </si>
  <si>
    <t xml:space="preserve">F111</t>
  </si>
  <si>
    <t xml:space="preserve">059</t>
  </si>
  <si>
    <r>
      <rPr>
        <sz val="11"/>
        <color theme="1"/>
        <rFont val="맑은 고딕"/>
        <family val="0"/>
        <charset val="1"/>
      </rPr>
      <t xml:space="preserve">vendor100 059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0.529.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</si>
  <si>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249</t>
  </si>
  <si>
    <r>
      <rPr>
        <sz val="11"/>
        <color theme="1"/>
        <rFont val="Noto Sans CJK SC"/>
        <family val="2"/>
      </rPr>
      <t xml:space="preserve">휴일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택시의 최대 요금이 얼마인지 조회해줘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</si>
  <si>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get_trip_metrics(metric=fare, scope=scope:district:2700000000, date=holiday, time=180000-200000, aggregation=max)</t>
  </si>
  <si>
    <t xml:space="preserve">spatial_ref=scope:district:2700000000; space=direct_scope; date=holiday; time=180000-200000; aggregation=max</t>
  </si>
  <si>
    <t xml:space="preserve">aug300-249</t>
  </si>
  <si>
    <t xml:space="preserve">F114</t>
  </si>
  <si>
    <t xml:space="preserve">250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</si>
  <si>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택시의 요금 중간값을 확인해줘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</si>
  <si>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get_trip_metrics(metric=fare, scope=scope:district:2600000000, date=weekend, time=070000-090000, aggregation=med)</t>
  </si>
  <si>
    <t xml:space="preserve">spatial_ref=scope:district:2600000000; space=direct_scope; date=weekend; time=070000-090000; aggregation=med</t>
  </si>
  <si>
    <t xml:space="preserve">aug300-250</t>
  </si>
  <si>
    <t xml:space="preserve">251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</si>
  <si>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대구 중구 소속 택시의 평균 요금은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</si>
  <si>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get_trip_metrics(metric=fare, scope=$resolve.scope, date=20260602, time=070000-090000,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</si>
  <si>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; space=admin; date=20260602; time=070000-090000; aggregation=avg</t>
    </r>
  </si>
  <si>
    <t xml:space="preserve">aug300-251</t>
  </si>
  <si>
    <t xml:space="preserve">252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</si>
  <si>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동구 소속 택시의 최소 요금을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</si>
  <si>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get_trip_metrics(metric=fare, scope=$resolve.scope, date=20260603, time=180000-200000,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</si>
  <si>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; space=admin; date=20260603; time=180000-200000; aggregation=min</t>
    </r>
  </si>
  <si>
    <t xml:space="preserve">aug300-252</t>
  </si>
  <si>
    <t xml:space="preserve">253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</si>
  <si>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부산진구 소속 택시의 총 요금이 얼마인지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</si>
  <si>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get_trip_metrics(metric=fare, scope=$resolve.scope, date=20260605, time=180000-200000, aggregation=sum)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</si>
  <si>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; space=admin; date=20260605; time=180000-200000; aggregation=sum</t>
    </r>
  </si>
  <si>
    <t xml:space="preserve">aug300-253</t>
  </si>
  <si>
    <t xml:space="preserve">254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</si>
  <si>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일까지 부산 수영구 소속 택시의 평균 요금을 확인해줘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</si>
  <si>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get_trip_metrics(metric=fare, scope=$resolve.scope, date=20260601-20260605,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</si>
  <si>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; space=admin; date=20260601-20260605; aggregation=avg</t>
    </r>
  </si>
  <si>
    <t xml:space="preserve">aug300-254</t>
  </si>
  <si>
    <t xml:space="preserve">255</t>
  </si>
  <si>
    <r>
      <rPr>
        <sz val="11"/>
        <color theme="1"/>
        <rFont val="Noto Sans CJK SC"/>
        <family val="2"/>
      </rPr>
      <t xml:space="preserve">지난주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전체 택시의 요금 중간값은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</si>
  <si>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get_trip_metrics(metric=fare, date=last_week, time=180000-200000, aggregation=med)</t>
  </si>
  <si>
    <t xml:space="preserve">space=none; date=last_week; time=180000-200000; aggregation=med</t>
  </si>
  <si>
    <t xml:space="preserve">aug300-255</t>
  </si>
  <si>
    <t xml:space="preserve">F115</t>
  </si>
  <si>
    <t xml:space="preserve">256</t>
  </si>
  <si>
    <r>
      <rPr>
        <sz val="11"/>
        <color theme="1"/>
        <rFont val="Noto Sans CJK SC"/>
        <family val="2"/>
      </rPr>
      <t xml:space="preserve">이번 달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전체 택시의 평균 요금을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</si>
  <si>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get_trip_metrics(metric=fare, date=this_month, time=070000-090000, aggregation=avg)</t>
  </si>
  <si>
    <t xml:space="preserve">space=none; date=this_month; time=070000-090000; aggregation=avg</t>
  </si>
  <si>
    <t xml:space="preserve">aug300-256</t>
  </si>
  <si>
    <t xml:space="preserve">257</t>
  </si>
  <si>
    <r>
      <rPr>
        <sz val="11"/>
        <color theme="1"/>
        <rFont val="Noto Sans CJK SC"/>
        <family val="2"/>
      </rPr>
      <t xml:space="preserve">지난달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서울 소속 택시의 최대 요금이 얼마인지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</si>
  <si>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)
get_trip_metrics(metric=fare, scope=$resolve.scope, date=last_month, time=180000-200000,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</si>
  <si>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; space=admin; date=last_month; time=180000-200000; aggregation=max</t>
    </r>
  </si>
  <si>
    <t xml:space="preserve">aug300-257</t>
  </si>
  <si>
    <t xml:space="preserve">F108</t>
  </si>
  <si>
    <t xml:space="preserve">258</t>
  </si>
  <si>
    <r>
      <rPr>
        <sz val="11"/>
        <color theme="1"/>
        <rFont val="Noto Sans CJK SC"/>
        <family val="2"/>
      </rPr>
      <t xml:space="preserve">이번 주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인천 소속 택시의 총 요금을 확인해줘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</si>
  <si>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)
get_trip_metrics(metric=fare, scope=$resolve.scope, date=this_week, time=083000-100000, aggregation=sum)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</si>
  <si>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; space=admin; date=this_week; time=083000-100000; aggregation=sum</t>
    </r>
  </si>
  <si>
    <t xml:space="preserve">aug300-258</t>
  </si>
  <si>
    <t xml:space="preserve">259</t>
  </si>
  <si>
    <r>
      <rPr>
        <sz val="11"/>
        <color theme="1"/>
        <rFont val="Noto Sans CJK SC"/>
        <family val="2"/>
      </rPr>
      <t xml:space="preserve">주말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scope:district:2726000000 </t>
    </r>
    <r>
      <rPr>
        <sz val="11"/>
        <color theme="1"/>
        <rFont val="Noto Sans CJK SC"/>
        <family val="2"/>
      </rPr>
      <t xml:space="preserve">소속 택시의 최소 요금은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</si>
  <si>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get_trip_metrics(metric=fare, scope=scope:district:2726000000, date=weekend, time=000000-040000, aggregation=min)</t>
  </si>
  <si>
    <t xml:space="preserve">spatial_ref=scope:district:2726000000; space=direct_scope; date=weekend; time=000000-040000; aggregation=min</t>
  </si>
  <si>
    <t xml:space="preserve">aug300-259</t>
  </si>
  <si>
    <r>
      <rPr>
        <sz val="11"/>
        <color theme="1"/>
        <rFont val="맑은 고딕"/>
        <family val="0"/>
        <charset val="1"/>
      </rPr>
      <t xml:space="preserve">vendor100 009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0.508.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</si>
  <si>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260</t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</si>
  <si>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소속 택시의 요금 중간값은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</si>
  <si>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get_trip_metrics(metric=fare, scope=$resolve.scope, date=weekend, time=180000-200000,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</si>
  <si>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; space=admin; date=weekend; time=180000-200000; aggregation=med</t>
    </r>
  </si>
  <si>
    <t xml:space="preserve">aug300-260</t>
  </si>
  <si>
    <r>
      <rPr>
        <sz val="11"/>
        <color theme="1"/>
        <rFont val="맑은 고딕"/>
        <family val="0"/>
        <charset val="1"/>
      </rPr>
      <t xml:space="preserve">vendor100 059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0.567.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</si>
  <si>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261</t>
  </si>
  <si>
    <r>
      <rPr>
        <sz val="11"/>
        <color theme="1"/>
        <rFont val="Noto Sans CJK SC"/>
        <family val="2"/>
      </rPr>
      <t xml:space="preserve">주중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부산 소속 택시의 평균 요금을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</si>
  <si>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get_trip_metrics(metric=fare, scope=$resolve.scope, date=weekday, time=070000-090000,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</si>
  <si>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date=weekday; time=070000-090000; aggregation=avg</t>
    </r>
  </si>
  <si>
    <t xml:space="preserve">aug300-261</t>
  </si>
  <si>
    <t xml:space="preserve">262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</si>
  <si>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서울 소속 택시의 최대 요금이 얼마인지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</si>
  <si>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)
get_trip_metrics(metric=fare, scope=$resolve.scope, date=20260602, time=180000-200000,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</si>
  <si>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; space=admin; date=20260602; time=180000-200000; aggregation=max</t>
    </r>
  </si>
  <si>
    <t xml:space="preserve">aug300-262</t>
  </si>
  <si>
    <t xml:space="preserve">263</t>
  </si>
  <si>
    <r>
      <rPr>
        <sz val="11"/>
        <color theme="1"/>
        <rFont val="Noto Sans CJK SC"/>
        <family val="2"/>
      </rPr>
      <t xml:space="preserve">휴일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인천 소속 택시의 최소 요금을 확인해줘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</si>
  <si>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)
get_trip_metrics(metric=fare, scope=$resolve.scope, date=holiday, time=000000-040000,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</si>
  <si>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; space=admin; date=holiday; time=000000-040000; aggregation=min</t>
    </r>
  </si>
  <si>
    <t xml:space="preserve">aug300-263</t>
  </si>
  <si>
    <t xml:space="preserve">264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</si>
  <si>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일까지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수성구 소속 택시의 총 요금은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</si>
  <si>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get_trip_metrics(metric=fare, scope=$resolve.scope, date=20260601-20260605, time=180000-200000, aggregation=sum)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</si>
  <si>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date=20260601-20260605; time=180000-200000; aggregation=sum</t>
    </r>
  </si>
  <si>
    <t xml:space="preserve">aug300-264</t>
  </si>
  <si>
    <t xml:space="preserve">265</t>
  </si>
  <si>
    <r>
      <rPr>
        <sz val="11"/>
        <color theme="1"/>
        <rFont val="Noto Sans CJK SC"/>
        <family val="2"/>
      </rPr>
      <t xml:space="preserve">지난주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대구 달서구 소속 택시의 요금 중간값을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</si>
  <si>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get_trip_metrics(metric=fare, scope=$resolve.scope, date=last_week, time=083000-100000,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</si>
  <si>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date=last_week; time=083000-100000; aggregation=med</t>
    </r>
  </si>
  <si>
    <t xml:space="preserve">aug300-265</t>
  </si>
  <si>
    <t xml:space="preserve">266</t>
  </si>
  <si>
    <r>
      <rPr>
        <sz val="11"/>
        <color theme="1"/>
        <rFont val="Noto Sans CJK SC"/>
        <family val="2"/>
      </rPr>
      <t xml:space="preserve">이번 달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택시의 최대 요금이 얼마인지 조회해줘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</si>
  <si>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get_trip_metrics(metric=fare, scope=scope:district:2700000000, date=this_month, time=070000-090000, aggregation=max)</t>
  </si>
  <si>
    <t xml:space="preserve">spatial_ref=scope:district:2700000000; space=direct_scope; date=this_month; time=070000-090000; aggregation=max</t>
  </si>
  <si>
    <t xml:space="preserve">aug300-266</t>
  </si>
  <si>
    <t xml:space="preserve">267</t>
  </si>
  <si>
    <r>
      <rPr>
        <sz val="11"/>
        <color theme="1"/>
        <rFont val="Noto Sans CJK SC"/>
        <family val="2"/>
      </rPr>
      <t xml:space="preserve">지난달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택시의 최소 요금을 확인해줘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</si>
  <si>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get_trip_metrics(metric=fare, scope=scope:district:2600000000, date=last_month, time=180000-200000, aggregation=min)</t>
  </si>
  <si>
    <t xml:space="preserve">spatial_ref=scope:district:2600000000; space=direct_scope; date=last_month; time=180000-200000; aggregation=min</t>
  </si>
  <si>
    <t xml:space="preserve">aug300-267</t>
  </si>
  <si>
    <t xml:space="preserve">268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</si>
  <si>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대구 중구 소속 택시의 평균 요금은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</si>
  <si>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get_trip_metrics(metric=fare, scope=$resolve.scope, date=20260605, time=000000-040000,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</si>
  <si>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; space=admin; date=20260605; time=000000-040000; aggregation=avg</t>
    </r>
  </si>
  <si>
    <t xml:space="preserve">aug300-268</t>
  </si>
  <si>
    <t xml:space="preserve">269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</si>
  <si>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동구 소속 택시의 총 요금을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</si>
  <si>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get_trip_metrics(metric=fare, scope=$resolve.scope, date=20260603, time=180000-200000, aggregation=sum)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</si>
  <si>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; space=admin; date=20260603; time=180000-200000; aggregation=sum</t>
    </r>
  </si>
  <si>
    <t xml:space="preserve">aug300-269</t>
  </si>
  <si>
    <t xml:space="preserve">270</t>
  </si>
  <si>
    <r>
      <rPr>
        <sz val="11"/>
        <color theme="1"/>
        <rFont val="Noto Sans CJK SC"/>
        <family val="2"/>
      </rPr>
      <t xml:space="preserve">이번 주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부산 부산진구 소속 택시의 요금 중간값이 얼마인지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</si>
  <si>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get_trip_metrics(metric=fare, scope=$resolve.scope, date=this_week, time=083000-100000,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</si>
  <si>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; space=admin; date=this_week; time=083000-100000; aggregation=med</t>
    </r>
  </si>
  <si>
    <t xml:space="preserve">aug300-270</t>
  </si>
  <si>
    <t xml:space="preserve">271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</si>
  <si>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부산 수영구 소속 택시의 최대 요금을 확인해줘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</si>
  <si>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get_trip_metrics(metric=fare, scope=$resolve.scope, date=20260602, time=000000-040000,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</si>
  <si>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; space=admin; date=20260602; time=000000-040000; aggregation=max</t>
    </r>
  </si>
  <si>
    <t xml:space="preserve">aug300-271</t>
  </si>
  <si>
    <t xml:space="preserve">272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</si>
  <si>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scope:district:2726000000 </t>
    </r>
    <r>
      <rPr>
        <sz val="11"/>
        <color theme="1"/>
        <rFont val="Noto Sans CJK SC"/>
        <family val="2"/>
      </rPr>
      <t xml:space="preserve">소속 택시의 평균 요금은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</si>
  <si>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get_trip_metrics(metric=fare, scope=scope:district:2726000000, date=weekend, time=070000-090000, aggregation=avg)</t>
  </si>
  <si>
    <t xml:space="preserve">aug300-272</t>
  </si>
  <si>
    <t xml:space="preserve">273</t>
  </si>
  <si>
    <r>
      <rPr>
        <sz val="11"/>
        <color theme="1"/>
        <rFont val="Noto Sans CJK SC"/>
        <family val="2"/>
      </rPr>
      <t xml:space="preserve">대구 수성구를 출발지로 한 실차 이동 건수는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</si>
  <si>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get_trip_count(scope_pickup=$pickup.scope)</t>
    </r>
  </si>
  <si>
    <t xml:space="preserve">TRIP_COUNT</t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</si>
  <si>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</t>
    </r>
  </si>
  <si>
    <t xml:space="preserve">aug300-273</t>
  </si>
  <si>
    <t xml:space="preserve">F097</t>
  </si>
  <si>
    <t xml:space="preserve">silcha_trip, agg_absent</t>
  </si>
  <si>
    <t xml:space="preserve">071</t>
  </si>
  <si>
    <t xml:space="preserve">aux_test_v1 final_v12/f25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</si>
  <si>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vendor100 071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</si>
  <si>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274</t>
  </si>
  <si>
    <r>
      <rPr>
        <sz val="11"/>
        <color theme="1"/>
        <rFont val="Noto Sans CJK SC"/>
        <family val="2"/>
      </rPr>
      <t xml:space="preserve">부산 초량동 하차 기준 실차 이동 건수를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</si>
  <si>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get_trip_count(scope_dropoff=$dropoff.scope)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</si>
  <si>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맑은 고딕"/>
        <family val="0"/>
        <charset val="1"/>
      </rPr>
      <t xml:space="preserve">; space=admin</t>
    </r>
  </si>
  <si>
    <t xml:space="preserve">aug300-274</t>
  </si>
  <si>
    <t xml:space="preserve">F096</t>
  </si>
  <si>
    <t xml:space="preserve">069</t>
  </si>
  <si>
    <t xml:space="preserve">selection_v2 old44/g11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</si>
  <si>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vendor100 069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</si>
  <si>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275</t>
  </si>
  <si>
    <r>
      <rPr>
        <sz val="11"/>
        <color theme="1"/>
        <rFont val="Noto Sans CJK SC"/>
        <family val="2"/>
      </rPr>
      <t xml:space="preserve">대구 신천동→부산 초량동 실차 이동 건수를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</si>
  <si>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get_trip_count(scope_pickup=$pickup.scope, scope_dropoff=$dropoff.scope)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</si>
  <si>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맑은 고딕"/>
        <family val="0"/>
        <charset val="1"/>
      </rPr>
      <t xml:space="preserve">|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맑은 고딕"/>
        <family val="0"/>
        <charset val="1"/>
      </rPr>
      <t xml:space="preserve">; space=admin</t>
    </r>
  </si>
  <si>
    <t xml:space="preserve">aug300-275</t>
  </si>
  <si>
    <t xml:space="preserve">F090</t>
  </si>
  <si>
    <t xml:space="preserve">053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</si>
  <si>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vendor100 053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</si>
  <si>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276</t>
  </si>
  <si>
    <r>
      <rPr>
        <sz val="11"/>
        <color theme="1"/>
        <rFont val="Noto Sans CJK SC"/>
        <family val="2"/>
      </rPr>
      <t xml:space="preserve">출발지가 </t>
    </r>
    <r>
      <rPr>
        <sz val="11"/>
        <color theme="1"/>
        <rFont val="맑은 고딕"/>
        <family val="0"/>
        <charset val="1"/>
      </rPr>
      <t xml:space="preserve">scope:district:2723510100</t>
    </r>
    <r>
      <rPr>
        <sz val="11"/>
        <color theme="1"/>
        <rFont val="Noto Sans CJK SC"/>
        <family val="2"/>
      </rPr>
      <t xml:space="preserve">인 실차 구간은 몇 건이야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</si>
  <si>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get_trip_count(scope_pickup=scope:district:2723510100)</t>
  </si>
  <si>
    <t xml:space="preserve">spatial_ref=scope:district:2723510100; space=direct_scope</t>
  </si>
  <si>
    <t xml:space="preserve">aug300-276</t>
  </si>
  <si>
    <t xml:space="preserve">F107</t>
  </si>
  <si>
    <t xml:space="preserve">silcha_trip, agg_absent, direct_scope</t>
  </si>
  <si>
    <t xml:space="preserve">097</t>
  </si>
  <si>
    <t xml:space="preserve">selection_v2 indepv4/k21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</si>
  <si>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vendor100 097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; vendor100 097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0.510.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</si>
  <si>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277</t>
  </si>
  <si>
    <r>
      <rPr>
        <sz val="11"/>
        <color theme="1"/>
        <rFont val="맑은 고딕"/>
        <family val="0"/>
        <charset val="1"/>
      </rPr>
      <t xml:space="preserve">scope:district:2617010100 </t>
    </r>
    <r>
      <rPr>
        <sz val="11"/>
        <color theme="1"/>
        <rFont val="Noto Sans CJK SC"/>
        <family val="2"/>
      </rPr>
      <t xml:space="preserve">하차 기준 실차 이동 건수를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</si>
  <si>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get_trip_count(scope_dropoff=scope:district:2617010100)</t>
  </si>
  <si>
    <t xml:space="preserve">spatial_ref=scope:district:2617010100; space=direct_scope</t>
  </si>
  <si>
    <t xml:space="preserve">aug300-277</t>
  </si>
  <si>
    <t xml:space="preserve">F106</t>
  </si>
  <si>
    <t xml:space="preserve">066</t>
  </si>
  <si>
    <t xml:space="preserve">selection_v2 old44/g35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</si>
  <si>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vendor100 066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</si>
  <si>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278</t>
  </si>
  <si>
    <r>
      <rPr>
        <sz val="11"/>
        <color theme="1"/>
        <rFont val="맑은 고딕"/>
        <family val="0"/>
        <charset val="1"/>
      </rPr>
      <t xml:space="preserve">scope:district:2700000000→scope:district:2600000000 </t>
    </r>
    <r>
      <rPr>
        <sz val="11"/>
        <color theme="1"/>
        <rFont val="Noto Sans CJK SC"/>
        <family val="2"/>
      </rPr>
      <t xml:space="preserve">실차 이동 건수를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</si>
  <si>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get_trip_count(scope_pickup=scope:district:2700000000, scope_dropoff=scope:district:2600000000)</t>
  </si>
  <si>
    <t xml:space="preserve">spatial_ref=scope:district:2700000000|scope:district:2600000000; space=direct_scope</t>
  </si>
  <si>
    <t xml:space="preserve">aug300-278</t>
  </si>
  <si>
    <t xml:space="preserve">F105</t>
  </si>
  <si>
    <t xml:space="preserve">279</t>
  </si>
  <si>
    <r>
      <rPr>
        <sz val="11"/>
        <color theme="1"/>
        <rFont val="Noto Sans CJK SC"/>
        <family val="2"/>
      </rPr>
      <t xml:space="preserve">대구에서 승차 건수가 많은 읍면동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</si>
  <si>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get_trip_count(scope_pickup=$pickup.scope, dimension=emd, dimension_target=pickup, order=top, limit=2)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</si>
  <si>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; space=admin; group_by=emd; dimension_target=pickup; order=top; limit=2</t>
    </r>
  </si>
  <si>
    <t xml:space="preserve">aug300-279</t>
  </si>
  <si>
    <t xml:space="preserve">F085</t>
  </si>
  <si>
    <t xml:space="preserve">dt_pickup, agg_absent, group_by, ranking</t>
  </si>
  <si>
    <t xml:space="preserve">044</t>
  </si>
  <si>
    <t xml:space="preserve">selection_v2 contrast/c01a</t>
  </si>
  <si>
    <t xml:space="preserve">280</t>
  </si>
  <si>
    <r>
      <rPr>
        <sz val="11"/>
        <color theme="1"/>
        <rFont val="Noto Sans CJK SC"/>
        <family val="2"/>
      </rPr>
      <t xml:space="preserve">부산에 도착한 실차의 하차 건수가 많은 읍면동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</si>
  <si>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get_trip_count(scope_dropoff=$dropoff.scope, dimension=emd, dimension_target=dropoff, order=top, limit=2)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</si>
  <si>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group_by=emd; dimension_target=dropoff; order=top; limit=2</t>
    </r>
  </si>
  <si>
    <t xml:space="preserve">aug300-280</t>
  </si>
  <si>
    <t xml:space="preserve">F084</t>
  </si>
  <si>
    <t xml:space="preserve">dt_dropoff, silcha_trip, agg_absent, group_by, ranking</t>
  </si>
  <si>
    <t xml:space="preserve">026</t>
  </si>
  <si>
    <t xml:space="preserve">281</t>
  </si>
  <si>
    <r>
      <rPr>
        <sz val="11"/>
        <color theme="1"/>
        <rFont val="Noto Sans CJK SC"/>
        <family val="2"/>
      </rPr>
      <t xml:space="preserve">시도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</si>
  <si>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get_trip_count(dimension=sido, dimension_target=both, order=top, limit=3)</t>
  </si>
  <si>
    <t xml:space="preserve">space=global; group_by=sido; dimension_target=both; order=top; limit=3</t>
  </si>
  <si>
    <t xml:space="preserve">aug300-281</t>
  </si>
  <si>
    <t xml:space="preserve">F104</t>
  </si>
  <si>
    <t xml:space="preserve">dt_both, agg_absent, group_by, ranking, global</t>
  </si>
  <si>
    <t xml:space="preserve">006</t>
  </si>
  <si>
    <t xml:space="preserve">038</t>
  </si>
  <si>
    <t xml:space="preserve">selection_v2 contrast/c04b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</si>
  <si>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vendor100 038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</si>
  <si>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282</t>
  </si>
  <si>
    <r>
      <rPr>
        <sz val="11"/>
        <color theme="1"/>
        <rFont val="Noto Sans CJK SC"/>
        <family val="2"/>
      </rPr>
      <t xml:space="preserve">부산 안에서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</si>
  <si>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get_trip_count(scope_pickup=$area.scope, scope_dropoff=$area.scope, dimension=emd, dimension_target=both, order=bottom, limit=2)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</si>
  <si>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group_by=emd; dimension_target=both; order=bottom; limit=2</t>
    </r>
  </si>
  <si>
    <t xml:space="preserve">aug300-282</t>
  </si>
  <si>
    <t xml:space="preserve">F083</t>
  </si>
  <si>
    <t xml:space="preserve">dt_both, agg_absent, group_by, ranking</t>
  </si>
  <si>
    <t xml:space="preserve">093</t>
  </si>
  <si>
    <r>
      <rPr>
        <sz val="11"/>
        <color theme="1"/>
        <rFont val="맑은 고딕"/>
        <family val="0"/>
        <charset val="1"/>
      </rPr>
      <t xml:space="preserve">vendor100 093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0.556.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</si>
  <si>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283</t>
  </si>
  <si>
    <r>
      <rPr>
        <sz val="11"/>
        <color theme="1"/>
        <rFont val="맑은 고딕"/>
        <family val="0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에서 승차 건수가 적은 시군구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</si>
  <si>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get_trip_count(scope_pickup=scope:district:2700000000, dimension=sigungu, dimension_target=pickup, order=bottom, limit=2)</t>
  </si>
  <si>
    <t xml:space="preserve">spatial_ref=scope:district:2700000000; space=direct_scope; group_by=sigungu; dimension_target=pickup; order=bottom; limit=2</t>
  </si>
  <si>
    <t xml:space="preserve">aug300-283</t>
  </si>
  <si>
    <t xml:space="preserve">F103</t>
  </si>
  <si>
    <t xml:space="preserve">dt_pickup, agg_absent, group_by, ranking, direct_scope</t>
  </si>
  <si>
    <t xml:space="preserve">284</t>
  </si>
  <si>
    <r>
      <rPr>
        <sz val="11"/>
        <color theme="1"/>
        <rFont val="맑은 고딕"/>
        <family val="0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에 도착한 실차의 하차 건수가 많은 시군구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</si>
  <si>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get_trip_count(scope_dropoff=scope:district:2600000000, dimension=sigungu, dimension_target=dropoff, order=top, limit=2)</t>
  </si>
  <si>
    <t xml:space="preserve">spatial_ref=scope:district:2600000000; space=direct_scope; group_by=sigungu; dimension_target=dropoff; order=top; limit=2</t>
  </si>
  <si>
    <t xml:space="preserve">aug300-284</t>
  </si>
  <si>
    <t xml:space="preserve">F102</t>
  </si>
  <si>
    <t xml:space="preserve">dt_dropoff, silcha_trip, agg_absent, group_by, ranking, direct_scope</t>
  </si>
  <si>
    <t xml:space="preserve">285</t>
  </si>
  <si>
    <r>
      <rPr>
        <sz val="11"/>
        <color theme="1"/>
        <rFont val="Noto Sans CJK SC"/>
        <family val="2"/>
      </rPr>
      <t xml:space="preserve">시군구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</si>
  <si>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get_trip_count(dimension=sigungu, dimension_target=both, order=bottom, limit=3)</t>
  </si>
  <si>
    <t xml:space="preserve">space=global; group_by=sigungu; dimension_target=both; order=bottom; limit=3</t>
  </si>
  <si>
    <t xml:space="preserve">aug300-285</t>
  </si>
  <si>
    <t xml:space="preserve">078</t>
  </si>
  <si>
    <t xml:space="preserve">286</t>
  </si>
  <si>
    <r>
      <rPr>
        <sz val="11"/>
        <color theme="1"/>
        <rFont val="Noto Sans CJK SC"/>
        <family val="2"/>
      </rPr>
      <t xml:space="preserve">이번 주 대구 동인동을 출발지로 하는 실차 이동 건수를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</si>
  <si>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동인동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get_trip_count(scope_pickup=$pickup.scope, date=this_week)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</si>
  <si>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동인동</t>
    </r>
    <r>
      <rPr>
        <sz val="11"/>
        <color theme="1"/>
        <rFont val="맑은 고딕"/>
        <family val="0"/>
        <charset val="1"/>
      </rPr>
      <t xml:space="preserve">; space=admin; date=this_week</t>
    </r>
  </si>
  <si>
    <t xml:space="preserve">aug300-286</t>
  </si>
  <si>
    <t xml:space="preserve">F095</t>
  </si>
  <si>
    <t xml:space="preserve">031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</si>
  <si>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vendor100 031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</si>
  <si>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287</t>
  </si>
  <si>
    <r>
      <rPr>
        <sz val="11"/>
        <color theme="1"/>
        <rFont val="Noto Sans CJK SC"/>
        <family val="2"/>
      </rPr>
      <t xml:space="preserve">지난주 부산 초읍동 하차 기준 실차 이동 건수를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</si>
  <si>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초읍동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get_trip_count(scope_dropoff=$dropoff.scope, date=last_week)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</si>
  <si>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초읍동</t>
    </r>
    <r>
      <rPr>
        <sz val="11"/>
        <color theme="1"/>
        <rFont val="맑은 고딕"/>
        <family val="0"/>
        <charset val="1"/>
      </rPr>
      <t xml:space="preserve">; space=admin; date=last_week</t>
    </r>
  </si>
  <si>
    <t xml:space="preserve">aug300-287</t>
  </si>
  <si>
    <t xml:space="preserve">F094</t>
  </si>
  <si>
    <t xml:space="preserve">288</t>
  </si>
  <si>
    <r>
      <rPr>
        <sz val="11"/>
        <color theme="1"/>
        <rFont val="Noto Sans CJK SC"/>
        <family val="2"/>
      </rPr>
      <t xml:space="preserve">주말 대구 두산동→부산 광안동 실차 이동 건수를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</si>
  <si>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두산동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get_trip_count(scope_pickup=$pickup.scope, scope_dropoff=$dropoff.scope, date=weekend)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</si>
  <si>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두산동</t>
    </r>
    <r>
      <rPr>
        <sz val="11"/>
        <color theme="1"/>
        <rFont val="맑은 고딕"/>
        <family val="0"/>
        <charset val="1"/>
      </rPr>
      <t xml:space="preserve">|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맑은 고딕"/>
        <family val="0"/>
        <charset val="1"/>
      </rPr>
      <t xml:space="preserve">; space=admin; date=weekend</t>
    </r>
  </si>
  <si>
    <t xml:space="preserve">aug300-288</t>
  </si>
  <si>
    <t xml:space="preserve">F089</t>
  </si>
  <si>
    <t xml:space="preserve">048</t>
  </si>
  <si>
    <t xml:space="preserve">289</t>
  </si>
  <si>
    <r>
      <rPr>
        <sz val="11"/>
        <color theme="1"/>
        <rFont val="Noto Sans CJK SC"/>
        <family val="2"/>
      </rPr>
      <t xml:space="preserve">지난달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신천동에서 부산 초량동까지의 실차 구간 건수는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</si>
  <si>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get_trip_count(scope_pickup=$pickup.scope, scope_dropoff=$dropoff.scope, date=last_month, time=180000-200000)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</si>
  <si>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맑은 고딕"/>
        <family val="0"/>
        <charset val="1"/>
      </rPr>
      <t xml:space="preserve">|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맑은 고딕"/>
        <family val="0"/>
        <charset val="1"/>
      </rPr>
      <t xml:space="preserve">; space=admin; date=last_month; time=180000-200000</t>
    </r>
  </si>
  <si>
    <t xml:space="preserve">aug300-289</t>
  </si>
  <si>
    <t xml:space="preserve">F088</t>
  </si>
  <si>
    <t xml:space="preserve">022</t>
  </si>
  <si>
    <t xml:space="preserve">selection_v2 contrast/c03a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</si>
  <si>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vendor100 022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; vendor100 022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0.725.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</si>
  <si>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290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</si>
  <si>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scope:district:2723510100</t>
    </r>
    <r>
      <rPr>
        <sz val="11"/>
        <color theme="1"/>
        <rFont val="Noto Sans CJK SC"/>
        <family val="2"/>
      </rPr>
      <t xml:space="preserve">에서 출발해 </t>
    </r>
    <r>
      <rPr>
        <sz val="11"/>
        <color theme="1"/>
        <rFont val="맑은 고딕"/>
        <family val="0"/>
        <charset val="1"/>
      </rPr>
      <t xml:space="preserve">scope:district:2617010100</t>
    </r>
    <r>
      <rPr>
        <sz val="11"/>
        <color theme="1"/>
        <rFont val="Noto Sans CJK SC"/>
        <family val="2"/>
      </rPr>
      <t xml:space="preserve">에 도착한 실차 구간이 몇 건이야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</si>
  <si>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get_trip_count(scope_pickup=scope:district:2723510100, scope_dropoff=scope:district:2617010100, date=20260602, time=070000-090000)</t>
  </si>
  <si>
    <t xml:space="preserve">spatial_ref=scope:district:2723510100|scope:district:2617010100; space=direct_scope; date=20260602; time=070000-090000</t>
  </si>
  <si>
    <t xml:space="preserve">aug300-290</t>
  </si>
  <si>
    <t xml:space="preserve">F101</t>
  </si>
  <si>
    <r>
      <rPr>
        <sz val="11"/>
        <color theme="1"/>
        <rFont val="맑은 고딕"/>
        <family val="0"/>
        <charset val="1"/>
      </rPr>
      <t xml:space="preserve">selection·valid·aux </t>
    </r>
    <r>
      <rPr>
        <sz val="11"/>
        <color theme="1"/>
        <rFont val="Noto Sans CJK SC"/>
        <family val="2"/>
      </rPr>
      <t xml:space="preserve">보호셋과 문자 </t>
    </r>
    <r>
      <rPr>
        <sz val="11"/>
        <color theme="1"/>
        <rFont val="맑은 고딕"/>
        <family val="0"/>
        <charset val="1"/>
      </rPr>
      <t xml:space="preserve">3-gram Jaccard ≥ 0.5(selection_v2 old44/g35, 0.513). </t>
    </r>
    <r>
      <rPr>
        <sz val="11"/>
        <color theme="1"/>
        <rFont val="Noto Sans CJK SC"/>
        <family val="2"/>
      </rPr>
      <t xml:space="preserve">학습</t>
    </r>
    <r>
      <rPr>
        <sz val="11"/>
        <color theme="1"/>
        <rFont val="맑은 고딕"/>
        <family val="0"/>
        <charset val="1"/>
      </rPr>
      <t xml:space="preserve">·holdout </t>
    </r>
    <r>
      <rPr>
        <sz val="11"/>
        <color theme="1"/>
        <rFont val="Noto Sans CJK SC"/>
        <family val="2"/>
      </rPr>
      <t xml:space="preserve">모두 쓰지 않음</t>
    </r>
  </si>
  <si>
    <t xml:space="preserve">291</t>
  </si>
  <si>
    <r>
      <rPr>
        <sz val="11"/>
        <color theme="1"/>
        <rFont val="Noto Sans CJK SC"/>
        <family val="2"/>
      </rPr>
      <t xml:space="preserve">지난주 대구에서 승차 건수가 적은 읍면동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</si>
  <si>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get_trip_count(scope_pickup=$pickup.scope, date=last_week, dimension=emd, dimension_target=pickup, order=bottom, limit=2)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</si>
  <si>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; space=admin; date=last_week; group_by=emd; dimension_target=pickup; order=bottom; limit=2</t>
    </r>
  </si>
  <si>
    <t xml:space="preserve">aug300-291</t>
  </si>
  <si>
    <t xml:space="preserve">F082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</si>
  <si>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vendor100 044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; vendor100 044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1.000.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</si>
  <si>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292</t>
  </si>
  <si>
    <r>
      <rPr>
        <sz val="11"/>
        <color theme="1"/>
        <rFont val="Noto Sans CJK SC"/>
        <family val="2"/>
      </rPr>
      <t xml:space="preserve">이번 달 부산에 도착한 실차의 하차 건수가 적은 읍면동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</si>
  <si>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get_trip_count(scope_dropoff=$dropoff.scope, date=this_month, dimension=emd, dimension_target=dropoff, order=bottom, limit=2)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</si>
  <si>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date=this_month; group_by=emd; dimension_target=dropoff; order=bottom; limit=2</t>
    </r>
  </si>
  <si>
    <t xml:space="preserve">aug300-292</t>
  </si>
  <si>
    <t xml:space="preserve">F081</t>
  </si>
  <si>
    <t xml:space="preserve">041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</si>
  <si>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vendor100 041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; vendor100 041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0.621.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</si>
  <si>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293</t>
  </si>
  <si>
    <r>
      <rPr>
        <sz val="11"/>
        <color theme="1"/>
        <rFont val="Noto Sans CJK SC"/>
        <family val="2"/>
      </rPr>
      <t xml:space="preserve">지난주 대구에서 부산까지 이동한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</si>
  <si>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get_trip_count(scope_pickup=$pickup.scope, scope_dropoff=$dropoff.scope, date=last_week, dimension=emd, dimension_target=both, order=top, limit=3)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</si>
  <si>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|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date=last_week; group_by=emd; dimension_target=both; order=top; limit=3</t>
    </r>
  </si>
  <si>
    <t xml:space="preserve">aug300-293</t>
  </si>
  <si>
    <t xml:space="preserve">F077</t>
  </si>
  <si>
    <r>
      <rPr>
        <sz val="11"/>
        <color theme="1"/>
        <rFont val="맑은 고딕"/>
        <family val="0"/>
        <charset val="1"/>
      </rPr>
      <t xml:space="preserve">vendor100 006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0.633.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</si>
  <si>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294</t>
  </si>
  <si>
    <r>
      <rPr>
        <sz val="11"/>
        <color theme="1"/>
        <rFont val="Noto Sans CJK SC"/>
        <family val="2"/>
      </rPr>
      <t xml:space="preserve">지난달 부산에서 대구까지 이동한 시군구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</si>
  <si>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get_trip_count(scope_pickup=$pickup.scope, scope_dropoff=$dropoff.scope, date=last_month, dimension=sigungu, dimension_target=both, order=bottom, limit=2)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</si>
  <si>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|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; space=admin; date=last_month; group_by=sigungu; dimension_target=both; order=bottom; limit=2</t>
    </r>
  </si>
  <si>
    <t xml:space="preserve">aug300-294</t>
  </si>
  <si>
    <t xml:space="preserve">012</t>
  </si>
  <si>
    <t xml:space="preserve">aux_test_v1 final_v12/f34</t>
  </si>
  <si>
    <r>
      <rPr>
        <sz val="11"/>
        <color theme="1"/>
        <rFont val="맑은 고딕"/>
        <family val="0"/>
        <charset val="1"/>
      </rPr>
      <t xml:space="preserve">vendor100 012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0.500.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</si>
  <si>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295</t>
  </si>
  <si>
    <r>
      <rPr>
        <sz val="11"/>
        <color theme="1"/>
        <rFont val="Noto Sans CJK SC"/>
        <family val="2"/>
      </rPr>
      <t xml:space="preserve">주말 대구 수성구에서 승차 건수가 많은 읍면동 상위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</si>
  <si>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get_trip_count(scope_pickup=$pickup.scope, date=weekend, dimension=emd, dimension_target=pickup, order=top, limit=3)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</si>
  <si>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date=weekend; group_by=emd; dimension_target=pickup; order=top; limit=3</t>
    </r>
  </si>
  <si>
    <t xml:space="preserve">aug300-295</t>
  </si>
  <si>
    <t xml:space="preserve">F093</t>
  </si>
  <si>
    <t xml:space="preserve">073</t>
  </si>
  <si>
    <t xml:space="preserve">296</t>
  </si>
  <si>
    <r>
      <rPr>
        <sz val="11"/>
        <color theme="1"/>
        <rFont val="Noto Sans CJK SC"/>
        <family val="2"/>
      </rPr>
      <t xml:space="preserve">이번 주 대구 달서구에 도착한 실차의 하차 건수가 많은 읍면동 상위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</si>
  <si>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get_trip_count(scope_dropoff=$dropoff.scope, date=this_week, dimension=emd, dimension_target=dropoff, order=top, limit=3)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</si>
  <si>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date=this_week; group_by=emd; dimension_target=dropoff; order=top; limit=3</t>
    </r>
  </si>
  <si>
    <t xml:space="preserve">aug300-296</t>
  </si>
  <si>
    <t xml:space="preserve">F092</t>
  </si>
  <si>
    <t xml:space="preserve">297</t>
  </si>
  <si>
    <r>
      <rPr>
        <sz val="11"/>
        <color theme="1"/>
        <rFont val="Noto Sans CJK SC"/>
        <family val="2"/>
      </rPr>
      <t xml:space="preserve">이번 달 부산 안에서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</si>
  <si>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get_trip_count(scope_pickup=$area.scope, scope_dropoff=$area.scope, date=this_month, dimension=emd, dimension_target=both, order=top, limit=3)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</si>
  <si>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date=this_month; group_by=emd; dimension_target=both; order=top; limit=3</t>
    </r>
  </si>
  <si>
    <t xml:space="preserve">aug300-297</t>
  </si>
  <si>
    <t xml:space="preserve">F080</t>
  </si>
  <si>
    <t xml:space="preserve">095</t>
  </si>
  <si>
    <t xml:space="preserve">298</t>
  </si>
  <si>
    <r>
      <rPr>
        <sz val="11"/>
        <color theme="1"/>
        <rFont val="Noto Sans CJK SC"/>
        <family val="2"/>
      </rPr>
      <t xml:space="preserve">주말 대구 안에서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</si>
  <si>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get_trip_count(scope_pickup=$area.scope, scope_dropoff=$area.scope, date=weekend, dimension=emd, dimension_target=both, order=bottom, limit=3)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</si>
  <si>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; space=admin; date=weekend; group_by=emd; dimension_target=both; order=bottom; limit=3</t>
    </r>
  </si>
  <si>
    <t xml:space="preserve">aug300-298</t>
  </si>
  <si>
    <t xml:space="preserve">299</t>
  </si>
  <si>
    <r>
      <rPr>
        <sz val="11"/>
        <color theme="1"/>
        <rFont val="Noto Sans CJK SC"/>
        <family val="2"/>
      </rPr>
      <t xml:space="preserve">지난주 시도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</si>
  <si>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get_trip_count(date=last_week, dimension=sido, dimension_target=both, order=top, limit=2)</t>
  </si>
  <si>
    <t xml:space="preserve">space=global; date=last_week; group_by=sido; dimension_target=both; order=top; limit=2</t>
  </si>
  <si>
    <t xml:space="preserve">aug300-299</t>
  </si>
  <si>
    <t xml:space="preserve">F100</t>
  </si>
  <si>
    <t xml:space="preserve">selection_v2 old44/g25</t>
  </si>
  <si>
    <t xml:space="preserve">300</t>
  </si>
  <si>
    <r>
      <rPr>
        <sz val="11"/>
        <color theme="1"/>
        <rFont val="Noto Sans CJK SC"/>
        <family val="2"/>
      </rPr>
      <t xml:space="preserve">지난달 시군구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</si>
  <si>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get_trip_count(date=last_month, dimension=sigungu, dimension_target=both, order=bottom, limit=3)</t>
  </si>
  <si>
    <t xml:space="preserve">space=global; date=last_month; group_by=sigungu; dimension_target=both; order=bottom; limit=3</t>
  </si>
  <si>
    <t xml:space="preserve">aug300-300</t>
  </si>
  <si>
    <t xml:space="preserve">301</t>
  </si>
  <si>
    <r>
      <rPr>
        <sz val="11"/>
        <color theme="1"/>
        <rFont val="Noto Sans CJK SC"/>
        <family val="2"/>
      </rPr>
      <t xml:space="preserve">이번 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맑은 고딕"/>
        <family val="0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까지 이동한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</si>
  <si>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get_trip_count(scope_pickup=scope:district:2700000000, scope_dropoff=scope:district:2600000000, date=this_week, time=180000-200000, dimension=emd, dimension_target=both, order=top, limit=2)</t>
  </si>
  <si>
    <t xml:space="preserve">spatial_ref=scope:district:2700000000|scope:district:2600000000; space=direct_scope; date=this_week; time=180000-200000; group_by=emd; dimension_target=both; order=top; limit=2</t>
  </si>
  <si>
    <t xml:space="preserve">aug300-301</t>
  </si>
  <si>
    <t xml:space="preserve">F098</t>
  </si>
  <si>
    <t xml:space="preserve">dt_both, agg_absent, group_by, ranking, direct_scope</t>
  </si>
  <si>
    <t xml:space="preserve">302</t>
  </si>
  <si>
    <r>
      <rPr>
        <sz val="11"/>
        <color theme="1"/>
        <rFont val="Noto Sans CJK SC"/>
        <family val="2"/>
      </rPr>
      <t xml:space="preserve">휴일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맑은 고딕"/>
        <family val="0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까지 이동한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</si>
  <si>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get_trip_count(scope_pickup=scope:district:2600000000, scope_dropoff=scope:district:2700000000, date=holiday, time=000000-040000, dimension=emd, dimension_target=both, order=bottom, limit=2)</t>
  </si>
  <si>
    <t xml:space="preserve">spatial_ref=scope:district:2600000000|scope:district:2700000000; space=direct_scope; date=holiday; time=000000-040000; group_by=emd; dimension_target=both; order=bottom; limit=2</t>
  </si>
  <si>
    <t xml:space="preserve">aug300-302</t>
  </si>
  <si>
    <t xml:space="preserve">303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</si>
  <si>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대구에서 부산까지 이동한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</si>
  <si>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get_trip_count(scope_pickup=$pickup.scope, scope_dropoff=$dropoff.scope, date=20260602, time=000000-040000, dimension=emd, dimension_target=both, order=top, limit=2)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</si>
  <si>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|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date=20260602; time=000000-040000; group_by=emd; dimension_target=both; order=top; limit=2</t>
    </r>
  </si>
  <si>
    <t xml:space="preserve">aug300-303</t>
  </si>
  <si>
    <t xml:space="preserve">F076</t>
  </si>
  <si>
    <r>
      <rPr>
        <sz val="11"/>
        <color theme="1"/>
        <rFont val="맑은 고딕"/>
        <family val="0"/>
        <charset val="1"/>
      </rPr>
      <t xml:space="preserve">vendor100 075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0.608.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</si>
  <si>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304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</si>
  <si>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부산에서 대구까지 이동한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</si>
  <si>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get_trip_count(scope_pickup=$pickup.scope, scope_dropoff=$dropoff.scope, date=20260603, time=070000-090000, dimension=emd, dimension_target=both, order=bottom, limit=3)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</si>
  <si>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|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; space=admin; date=20260603; time=070000-090000; group_by=emd; dimension_target=both; order=bottom; limit=3</t>
    </r>
  </si>
  <si>
    <t xml:space="preserve">aug300-304</t>
  </si>
  <si>
    <t xml:space="preserve">305</t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</si>
  <si>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수성구에서 손님을 태워 부산에 도착한 실차의 하차 읍면동 상위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</si>
  <si>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get_trip_count(scope_pickup=$pickup.scope, scope_dropoff=$dropoff.scope, date=weekend, time=180000-200000, dimension=emd, dimension_target=dropoff, order=top, limit=3)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</si>
  <si>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|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date=weekend; time=180000-200000; group_by=emd; dimension_target=dropoff; order=top; limit=3</t>
    </r>
  </si>
  <si>
    <r>
      <rPr>
        <sz val="11"/>
        <color theme="1"/>
        <rFont val="Noto Sans CJK SC"/>
        <family val="2"/>
      </rPr>
      <t xml:space="preserve">질문 수정</t>
    </r>
    <r>
      <rPr>
        <sz val="11"/>
        <color theme="1"/>
        <rFont val="맑은 고딕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셀 메모 참고</t>
    </r>
    <r>
      <rPr>
        <sz val="11"/>
        <color theme="1"/>
        <rFont val="맑은 고딕"/>
        <family val="0"/>
        <charset val="1"/>
      </rPr>
      <t xml:space="preserve">)</t>
    </r>
  </si>
  <si>
    <t xml:space="preserve">aug300-305</t>
  </si>
  <si>
    <t xml:space="preserve">F086</t>
  </si>
  <si>
    <t xml:space="preserve">dt_dropoff, od_both_dt_one, silcha_trip, agg_absent, group_by, ranking</t>
  </si>
  <si>
    <t xml:space="preserve">084</t>
  </si>
  <si>
    <t xml:space="preserve">306</t>
  </si>
  <si>
    <r>
      <rPr>
        <sz val="11"/>
        <color theme="1"/>
        <rFont val="Noto Sans CJK SC"/>
        <family val="2"/>
      </rPr>
      <t xml:space="preserve">주중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부산 수영구로 간 실차를 기준으로</t>
    </r>
    <r>
      <rPr>
        <sz val="11"/>
        <color theme="1"/>
        <rFont val="맑은 고딕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대구에서 승차가 가장 적은 읍면동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</si>
  <si>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get_trip_count(scope_pickup=$pickup.scope, scope_dropoff=$dropoff.scope, date=weekday, time=083000-100000, dimension=emd, dimension_target=pickup, order=bottom, limit=2)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</si>
  <si>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|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; space=admin; date=weekday; time=083000-100000; group_by=emd; dimension_target=pickup; order=bottom; limit=2</t>
    </r>
  </si>
  <si>
    <t xml:space="preserve">aug300-306</t>
  </si>
  <si>
    <t xml:space="preserve">F078</t>
  </si>
  <si>
    <t xml:space="preserve">dt_pickup, od_both_dt_one, silcha_trip, agg_absent, group_by, ranking</t>
  </si>
  <si>
    <t xml:space="preserve">selection_v2 old44/g12</t>
  </si>
  <si>
    <t xml:space="preserve">307</t>
  </si>
  <si>
    <r>
      <rPr>
        <sz val="11"/>
        <color theme="1"/>
        <rFont val="Noto Sans CJK SC"/>
        <family val="2"/>
      </rPr>
      <t xml:space="preserve">지난달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신천동에서 부산 초량동까지 이동한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</si>
  <si>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get_trip_count(scope_pickup=$pickup.scope, scope_dropoff=$dropoff.scope, date=last_month, time=180000-200000, dimension=emd, dimension_target=both, order=top, limit=2)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</si>
  <si>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맑은 고딕"/>
        <family val="0"/>
        <charset val="1"/>
      </rPr>
      <t xml:space="preserve">|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맑은 고딕"/>
        <family val="0"/>
        <charset val="1"/>
      </rPr>
      <t xml:space="preserve">; space=admin; date=last_month; time=180000-200000; group_by=emd; dimension_target=both; order=top; limit=2</t>
    </r>
  </si>
  <si>
    <t xml:space="preserve">aug300-307</t>
  </si>
  <si>
    <t xml:space="preserve">F087</t>
  </si>
  <si>
    <t xml:space="preserve">308</t>
  </si>
  <si>
    <r>
      <rPr>
        <sz val="11"/>
        <color theme="1"/>
        <rFont val="Noto Sans CJK SC"/>
        <family val="2"/>
      </rPr>
      <t xml:space="preserve">휴일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대구 두산동에서 부산 광안동까지 이동한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</si>
  <si>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두산동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get_trip_count(scope_pickup=$pickup.scope, scope_dropoff=$dropoff.scope, date=holiday, time=000000-040000, dimension=emd, dimension_target=both, order=bottom, limit=2)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</si>
  <si>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두산동</t>
    </r>
    <r>
      <rPr>
        <sz val="11"/>
        <color theme="1"/>
        <rFont val="맑은 고딕"/>
        <family val="0"/>
        <charset val="1"/>
      </rPr>
      <t xml:space="preserve">|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맑은 고딕"/>
        <family val="0"/>
        <charset val="1"/>
      </rPr>
      <t xml:space="preserve">; space=admin; date=holiday; time=000000-040000; group_by=emd; dimension_target=both; order=bottom; limit=2</t>
    </r>
  </si>
  <si>
    <t xml:space="preserve">aug300-308</t>
  </si>
  <si>
    <t xml:space="preserve">309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</si>
  <si>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일까지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맑은 고딕"/>
        <family val="0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까지 이동한 시군구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</si>
  <si>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get_trip_count(scope_pickup=scope:district:2700000000, scope_dropoff=scope:district:2600000000, date=20260601-20260605, time=180000-200000, dimension=sigungu, dimension_target=both, order=top, limit=3)</t>
  </si>
  <si>
    <t xml:space="preserve">spatial_ref=scope:district:2700000000|scope:district:2600000000; space=direct_scope; date=20260601-20260605; time=180000-200000; group_by=sigungu; dimension_target=both; order=top; limit=3</t>
  </si>
  <si>
    <t xml:space="preserve">aug300-309</t>
  </si>
  <si>
    <t xml:space="preserve">310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</si>
  <si>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맑은 고딕"/>
        <family val="0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까지 이동한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중 가장 많이 이용된 노선은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</si>
  <si>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get_trip_count(scope_pickup=scope:district:2600000000, scope_dropoff=scope:district:2700000000, date=20260605, time=000000-040000, dimension=emd, dimension_target=both, order=top, limit=1)</t>
  </si>
  <si>
    <t xml:space="preserve">spatial_ref=scope:district:2600000000|scope:district:2700000000; space=direct_scope; date=20260605; time=000000-040000; group_by=emd; dimension_target=both; order=top; limit=1</t>
  </si>
  <si>
    <t xml:space="preserve">aug300-310</t>
  </si>
  <si>
    <t xml:space="preserve">311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</si>
  <si>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대구 안에서 </t>
    </r>
    <r>
      <rPr>
        <sz val="11"/>
        <color theme="1"/>
        <rFont val="맑은 고딕"/>
        <family val="0"/>
        <charset val="1"/>
      </rPr>
      <t xml:space="preserve">H3 </t>
    </r>
    <r>
      <rPr>
        <sz val="11"/>
        <color theme="1"/>
        <rFont val="Noto Sans CJK SC"/>
        <family val="2"/>
      </rPr>
      <t xml:space="preserve">셀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</si>
  <si>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get_trip_count(scope_pickup=$area.scope, scope_dropoff=$area.scope, date=weekend, time=070000-090000, dimension=h3, dimension_target=both, order=top, limit=3)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</si>
  <si>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; space=admin; date=weekend; time=070000-090000; group_by=h3; dimension_target=both; order=top; limit=3</t>
    </r>
  </si>
  <si>
    <t xml:space="preserve">aug300-311</t>
  </si>
  <si>
    <t xml:space="preserve">F079</t>
  </si>
  <si>
    <t xml:space="preserve">312</t>
  </si>
  <si>
    <r>
      <rPr>
        <sz val="11"/>
        <color theme="1"/>
        <rFont val="Noto Sans CJK SC"/>
        <family val="2"/>
      </rPr>
      <t xml:space="preserve">휴일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안에서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</si>
  <si>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get_trip_count(scope_pickup=$area.scope, scope_dropoff=$area.scope, date=holiday, time=180000-200000, dimension=emd, dimension_target=both, order=bottom, limit=3)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</si>
  <si>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date=holiday; time=180000-200000; group_by=emd; dimension_target=both; order=bottom; limit=3</t>
    </r>
  </si>
  <si>
    <t xml:space="preserve">aug300-312</t>
  </si>
  <si>
    <t xml:space="preserve">040</t>
  </si>
  <si>
    <t xml:space="preserve">313</t>
  </si>
  <si>
    <r>
      <rPr>
        <sz val="11"/>
        <color theme="1"/>
        <rFont val="Noto Sans CJK SC"/>
        <family val="2"/>
      </rPr>
      <t xml:space="preserve">지난주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대구 수성구 안에서 </t>
    </r>
    <r>
      <rPr>
        <sz val="11"/>
        <color theme="1"/>
        <rFont val="맑은 고딕"/>
        <family val="0"/>
        <charset val="1"/>
      </rPr>
      <t xml:space="preserve">H3 </t>
    </r>
    <r>
      <rPr>
        <sz val="11"/>
        <color theme="1"/>
        <rFont val="Noto Sans CJK SC"/>
        <family val="2"/>
      </rPr>
      <t xml:space="preserve">셀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</si>
  <si>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get_trip_count(scope_pickup=$area.scope, scope_dropoff=$area.scope, date=last_week, time=083000-100000, dimension=h3, dimension_target=both, order=top, limit=2)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</si>
  <si>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date=last_week; time=083000-100000; group_by=h3; dimension_target=both; order=top; limit=2</t>
    </r>
  </si>
  <si>
    <t xml:space="preserve">aug300-313</t>
  </si>
  <si>
    <t xml:space="preserve">F091</t>
  </si>
  <si>
    <t xml:space="preserve">314</t>
  </si>
  <si>
    <r>
      <rPr>
        <sz val="11"/>
        <color theme="1"/>
        <rFont val="Noto Sans CJK SC"/>
        <family val="2"/>
      </rPr>
      <t xml:space="preserve">이번 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scope:district:2723510100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맑은 고딕"/>
        <family val="0"/>
        <charset val="1"/>
      </rPr>
      <t xml:space="preserve">scope:district:2617010100</t>
    </r>
    <r>
      <rPr>
        <sz val="11"/>
        <color theme="1"/>
        <rFont val="Noto Sans CJK SC"/>
        <family val="2"/>
      </rPr>
      <t xml:space="preserve">까지 이동한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</si>
  <si>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get_trip_count(scope_pickup=scope:district:2723510100, scope_dropoff=scope:district:2617010100, date=this_week, time=180000-200000, dimension=emd, dimension_target=both, order=bottom, limit=2)</t>
  </si>
  <si>
    <t xml:space="preserve">spatial_ref=scope:district:2723510100|scope:district:2617010100; space=direct_scope; date=this_week; time=180000-200000; group_by=emd; dimension_target=both; order=bottom; limit=2</t>
  </si>
  <si>
    <t xml:space="preserve">aug300-314</t>
  </si>
  <si>
    <t xml:space="preserve">315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</si>
  <si>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시도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</si>
  <si>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t xml:space="preserve">get_trip_count(date=20260602, time=180000-200000, dimension=sido, dimension_target=both, order=top, limit=3)</t>
  </si>
  <si>
    <t xml:space="preserve">space=global; date=20260602; time=180000-200000; group_by=sido; dimension_target=both; order=top; limit=3</t>
  </si>
  <si>
    <t xml:space="preserve">aug300-315</t>
  </si>
  <si>
    <t xml:space="preserve">F099</t>
  </si>
  <si>
    <t xml:space="preserve">316</t>
  </si>
  <si>
    <r>
      <rPr>
        <sz val="11"/>
        <color theme="1"/>
        <rFont val="Noto Sans CJK SC"/>
        <family val="2"/>
      </rPr>
      <t xml:space="preserve">대구 소속 택시의 평균 수입은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</si>
  <si>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get_billing_metrics(metric=revenue, scope=$resolve.scope, aggregation=avg)</t>
    </r>
  </si>
  <si>
    <t xml:space="preserve">OPERATION</t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</si>
  <si>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; space=admin; metric=revenue; aggregation=avg</t>
    </r>
  </si>
  <si>
    <t xml:space="preserve">aug300-316</t>
  </si>
  <si>
    <t xml:space="preserve">F031</t>
  </si>
  <si>
    <t xml:space="preserve">057</t>
  </si>
  <si>
    <r>
      <rPr>
        <sz val="11"/>
        <color theme="1"/>
        <rFont val="맑은 고딕"/>
        <family val="0"/>
        <charset val="1"/>
      </rPr>
      <t xml:space="preserve">vendor100 057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0.562.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</si>
  <si>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317</t>
  </si>
  <si>
    <r>
      <rPr>
        <sz val="11"/>
        <color theme="1"/>
        <rFont val="Noto Sans CJK SC"/>
        <family val="2"/>
      </rPr>
      <t xml:space="preserve">부산 소속 법인택시 총 수입을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</si>
  <si>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get_billing_metrics(metric=revenue, scope=$resolve.scope, taxi_type=corporate, aggregation=sum)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</si>
  <si>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taxi_type=corporate; metric=revenue; aggregation=sum</t>
    </r>
  </si>
  <si>
    <t xml:space="preserve">aug300-317</t>
  </si>
  <si>
    <t xml:space="preserve">F030</t>
  </si>
  <si>
    <t xml:space="preserve">318</t>
  </si>
  <si>
    <r>
      <rPr>
        <sz val="11"/>
        <color theme="1"/>
        <rFont val="Noto Sans CJK SC"/>
        <family val="2"/>
      </rPr>
      <t xml:space="preserve">서울 소속 택시 기준 평균 활성택시 대수가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</si>
  <si>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)
get_billing_metrics(metric=active_taxi_count, scope=$resolve.scope,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</si>
  <si>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; space=admin; metric=active_taxi_count; aggregation=avg</t>
    </r>
  </si>
  <si>
    <t xml:space="preserve">aug300-318</t>
  </si>
  <si>
    <t xml:space="preserve">049</t>
  </si>
  <si>
    <t xml:space="preserve">319</t>
  </si>
  <si>
    <r>
      <rPr>
        <sz val="11"/>
        <color theme="1"/>
        <rFont val="Noto Sans CJK SC"/>
        <family val="2"/>
      </rPr>
      <t xml:space="preserve">인천 소속 개인택시의 평균 가동률을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</si>
  <si>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)
get_billing_metrics(metric=active_taxi_ratio, scope=$resolve.scope, taxi_type=private,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</si>
  <si>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; space=admin; taxi_type=private; metric=active_taxi_ratio; aggregation=avg</t>
    </r>
  </si>
  <si>
    <t xml:space="preserve">aug300-319</t>
  </si>
  <si>
    <t xml:space="preserve">014</t>
  </si>
  <si>
    <t xml:space="preserve">320</t>
  </si>
  <si>
    <r>
      <rPr>
        <sz val="11"/>
        <color theme="1"/>
        <rFont val="Noto Sans CJK SC"/>
        <family val="2"/>
      </rPr>
      <t xml:space="preserve">대구 수성구 소속 택시의 운행 일수 중간값은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</si>
  <si>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get_billing_metrics(metric=operating_days, scope=$resolve.scope,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</si>
  <si>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metric=operating_days; aggregation=med</t>
    </r>
  </si>
  <si>
    <t xml:space="preserve">aug300-320</t>
  </si>
  <si>
    <t xml:space="preserve">F036</t>
  </si>
  <si>
    <t xml:space="preserve">selection_v2 old44/g31</t>
  </si>
  <si>
    <t xml:space="preserve">321</t>
  </si>
  <si>
    <r>
      <rPr>
        <sz val="11"/>
        <color theme="1"/>
        <rFont val="맑은 고딕"/>
        <family val="0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택시 최대 수입을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</si>
  <si>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get_billing_metrics(metric=revenue, scope=scope:district:2700000000, aggregation=max)</t>
  </si>
  <si>
    <t xml:space="preserve">spatial_ref=scope:district:2700000000; space=direct_scope; metric=revenue; aggregation=max</t>
  </si>
  <si>
    <t xml:space="preserve">aug300-321</t>
  </si>
  <si>
    <t xml:space="preserve">F025</t>
  </si>
  <si>
    <t xml:space="preserve">322</t>
  </si>
  <si>
    <r>
      <rPr>
        <sz val="11"/>
        <color theme="1"/>
        <rFont val="맑은 고딕"/>
        <family val="0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택시 기준 최소 활성택시 대수가 얼마야</t>
    </r>
    <r>
      <rPr>
        <sz val="11"/>
        <color theme="1"/>
        <rFont val="맑은 고딕"/>
        <family val="0"/>
        <charset val="1"/>
      </rPr>
      <t xml:space="preserve">?</t>
    </r>
  </si>
  <si>
    <t xml:space="preserve">get_billing_metrics(metric=active_taxi_count, scope=scope:district:2600000000, aggregation=min)</t>
  </si>
  <si>
    <t xml:space="preserve">spatial_ref=scope:district:2600000000; space=direct_scope; metric=active_taxi_count; aggregation=min</t>
  </si>
  <si>
    <t xml:space="preserve">aug300-322</t>
  </si>
  <si>
    <t xml:space="preserve">323</t>
  </si>
  <si>
    <r>
      <rPr>
        <sz val="11"/>
        <color theme="1"/>
        <rFont val="Noto Sans CJK SC"/>
        <family val="2"/>
      </rPr>
      <t xml:space="preserve">법인택시의 평균 가동률을 조회해줘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</si>
  <si>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get_billing_metrics(metric=active_taxi_ratio, taxi_type=corporate, aggregation=avg)</t>
  </si>
  <si>
    <t xml:space="preserve">space=none; taxi_type=corporate; metric=active_taxi_ratio; aggregation=avg</t>
  </si>
  <si>
    <t xml:space="preserve">aug300-323</t>
  </si>
  <si>
    <t xml:space="preserve">F026</t>
  </si>
  <si>
    <t xml:space="preserve">324</t>
  </si>
  <si>
    <r>
      <rPr>
        <sz val="11"/>
        <color theme="1"/>
        <rFont val="Noto Sans CJK SC"/>
        <family val="2"/>
      </rPr>
      <t xml:space="preserve">개인택시의 평균 운행 일수는</t>
    </r>
    <r>
      <rPr>
        <sz val="11"/>
        <color theme="1"/>
        <rFont val="맑은 고딕"/>
        <family val="0"/>
        <charset val="1"/>
      </rPr>
      <t xml:space="preserve">?</t>
    </r>
  </si>
  <si>
    <t xml:space="preserve">get_billing_metrics(metric=operating_days, taxi_type=private, aggregation=avg)</t>
  </si>
  <si>
    <t xml:space="preserve">space=none; taxi_type=private; metric=operating_days; aggregation=avg</t>
  </si>
  <si>
    <t xml:space="preserve">aug300-324</t>
  </si>
  <si>
    <t xml:space="preserve">063</t>
  </si>
  <si>
    <t xml:space="preserve">selection_v2 old44/g26</t>
  </si>
  <si>
    <r>
      <rPr>
        <sz val="11"/>
        <color theme="1"/>
        <rFont val="맑은 고딕"/>
        <family val="0"/>
        <charset val="1"/>
      </rPr>
      <t xml:space="preserve">selection·valid·aux </t>
    </r>
    <r>
      <rPr>
        <sz val="11"/>
        <color theme="1"/>
        <rFont val="Noto Sans CJK SC"/>
        <family val="2"/>
      </rPr>
      <t xml:space="preserve">보호셋과 문자 </t>
    </r>
    <r>
      <rPr>
        <sz val="11"/>
        <color theme="1"/>
        <rFont val="맑은 고딕"/>
        <family val="0"/>
        <charset val="1"/>
      </rPr>
      <t xml:space="preserve">3-gram Jaccard ≥ 0.5(selection_v2 old44/g26, 0.500). </t>
    </r>
    <r>
      <rPr>
        <sz val="11"/>
        <color theme="1"/>
        <rFont val="Noto Sans CJK SC"/>
        <family val="2"/>
      </rPr>
      <t xml:space="preserve">학습</t>
    </r>
    <r>
      <rPr>
        <sz val="11"/>
        <color theme="1"/>
        <rFont val="맑은 고딕"/>
        <family val="0"/>
        <charset val="1"/>
      </rPr>
      <t xml:space="preserve">·holdout </t>
    </r>
    <r>
      <rPr>
        <sz val="11"/>
        <color theme="1"/>
        <rFont val="Noto Sans CJK SC"/>
        <family val="2"/>
      </rPr>
      <t xml:space="preserve">모두 쓰지 않음</t>
    </r>
  </si>
  <si>
    <t xml:space="preserve">325</t>
  </si>
  <si>
    <r>
      <rPr>
        <sz val="11"/>
        <color theme="1"/>
        <rFont val="Noto Sans CJK SC"/>
        <family val="2"/>
      </rPr>
      <t xml:space="preserve">시도별 택시 평균 수입을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</si>
  <si>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get_billing_metrics(metric=revenue, dimension=sido, aggregation=avg)</t>
  </si>
  <si>
    <t xml:space="preserve">space=none; metric=revenue; aggregation=avg; group_by=sido</t>
  </si>
  <si>
    <t xml:space="preserve">aug300-325</t>
  </si>
  <si>
    <t xml:space="preserve">F024</t>
  </si>
  <si>
    <t xml:space="preserve">agg_explicit, group_by, global</t>
  </si>
  <si>
    <t xml:space="preserve">065</t>
  </si>
  <si>
    <t xml:space="preserve">valid98 heldout_v9/h40</t>
  </si>
  <si>
    <t xml:space="preserve">326</t>
  </si>
  <si>
    <r>
      <rPr>
        <sz val="11"/>
        <color theme="1"/>
        <rFont val="Noto Sans CJK SC"/>
        <family val="2"/>
      </rPr>
      <t xml:space="preserve">요일별 택시 평균 활성택시 대수를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</si>
  <si>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get_billing_metrics(metric=active_taxi_count, dimension=dayofweek, aggregation=avg)</t>
  </si>
  <si>
    <t xml:space="preserve">space=none; metric=active_taxi_count; aggregation=avg; group_by=dayofweek</t>
  </si>
  <si>
    <t xml:space="preserve">aug300-326</t>
  </si>
  <si>
    <t xml:space="preserve">017</t>
  </si>
  <si>
    <t xml:space="preserve">327</t>
  </si>
  <si>
    <r>
      <rPr>
        <sz val="11"/>
        <color theme="1"/>
        <rFont val="Noto Sans CJK SC"/>
        <family val="2"/>
      </rPr>
      <t xml:space="preserve">대구 달서구 소속 법인택시의 최대 가동률을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</si>
  <si>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get_billing_metrics(metric=active_taxi_ratio, scope=$resolve.scope, taxi_type=corporate,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</si>
  <si>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taxi_type=corporate; metric=active_taxi_ratio; aggregation=max</t>
    </r>
  </si>
  <si>
    <t xml:space="preserve">aug300-327</t>
  </si>
  <si>
    <t xml:space="preserve">F035</t>
  </si>
  <si>
    <t xml:space="preserve">077</t>
  </si>
  <si>
    <t xml:space="preserve">328</t>
  </si>
  <si>
    <r>
      <rPr>
        <sz val="11"/>
        <color theme="1"/>
        <rFont val="Noto Sans CJK SC"/>
        <family val="2"/>
      </rPr>
      <t xml:space="preserve">부산 부산진구 소속 개인택시의 최소 운행 일수는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</si>
  <si>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get_billing_metrics(metric=operating_days, scope=$resolve.scope, taxi_type=private,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</si>
  <si>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; space=admin; taxi_type=private; metric=operating_days; aggregation=min</t>
    </r>
  </si>
  <si>
    <t xml:space="preserve">aug300-328</t>
  </si>
  <si>
    <t xml:space="preserve">valid98 stage_v7/s02c</t>
  </si>
  <si>
    <t xml:space="preserve">329</t>
  </si>
  <si>
    <r>
      <rPr>
        <sz val="11"/>
        <color theme="1"/>
        <rFont val="Noto Sans CJK SC"/>
        <family val="2"/>
      </rPr>
      <t xml:space="preserve">지난달 대구 소속 법인택시 수입의 합계는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</si>
  <si>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get_billing_metrics(metric=revenue, scope=$resolve.scope, date=last_month, taxi_type=corporate, aggregation=sum)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</si>
  <si>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; space=admin; date=last_month; taxi_type=corporate; metric=revenue; aggregation=sum</t>
    </r>
  </si>
  <si>
    <t xml:space="preserve">aug300-329</t>
  </si>
  <si>
    <t xml:space="preserve">F028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</si>
  <si>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vendor100 077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</si>
  <si>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330</t>
  </si>
  <si>
    <r>
      <rPr>
        <sz val="11"/>
        <color theme="1"/>
        <rFont val="Noto Sans CJK SC"/>
        <family val="2"/>
      </rPr>
      <t xml:space="preserve">지난주 부산 소속 택시 평균 수입을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</si>
  <si>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get_billing_metrics(metric=revenue, scope=$resolve.scope, date=last_week,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</si>
  <si>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date=last_week; metric=revenue; aggregation=avg</t>
    </r>
  </si>
  <si>
    <t xml:space="preserve">aug300-330</t>
  </si>
  <si>
    <t xml:space="preserve">F029</t>
  </si>
  <si>
    <t xml:space="preserve">valid98 stage_v7/s01c</t>
  </si>
  <si>
    <t xml:space="preserve">331</t>
  </si>
  <si>
    <r>
      <rPr>
        <sz val="11"/>
        <color theme="1"/>
        <rFont val="Noto Sans CJK SC"/>
        <family val="2"/>
      </rPr>
      <t xml:space="preserve">이번 달 서울 소속 법인택시 기준 평균 활성택시 대수가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</si>
  <si>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)
get_billing_metrics(metric=active_taxi_count, scope=$resolve.scope, date=this_month, taxi_type=corporate,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</si>
  <si>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; space=admin; date=this_month; taxi_type=corporate; metric=active_taxi_count; aggregation=avg</t>
    </r>
  </si>
  <si>
    <t xml:space="preserve">aug300-331</t>
  </si>
  <si>
    <t xml:space="preserve">selection_v2 indepv4/k15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</si>
  <si>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vendor100 049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; vendor100 049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0.517.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</si>
  <si>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332</t>
  </si>
  <si>
    <r>
      <rPr>
        <sz val="11"/>
        <color theme="1"/>
        <rFont val="Noto Sans CJK SC"/>
        <family val="2"/>
      </rPr>
      <t xml:space="preserve">주말 인천 소속 개인택시의 가동률 중간값을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</si>
  <si>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)
get_billing_metrics(metric=active_taxi_ratio, scope=$resolve.scope, date=weekend, taxi_type=private,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</si>
  <si>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; space=admin; date=weekend; taxi_type=private; metric=active_taxi_ratio; aggregation=med</t>
    </r>
  </si>
  <si>
    <t xml:space="preserve">aug300-332</t>
  </si>
  <si>
    <t xml:space="preserve">333</t>
  </si>
  <si>
    <r>
      <rPr>
        <sz val="11"/>
        <color theme="1"/>
        <rFont val="Noto Sans CJK SC"/>
        <family val="2"/>
      </rPr>
      <t xml:space="preserve">지난주 대구 수성구 소속 개인택시의 평균 운행 일수는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</si>
  <si>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get_billing_metrics(metric=operating_days, scope=$resolve.scope, date=last_week, taxi_type=private, aggregation=avg)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</si>
  <si>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date=last_week; taxi_type=private; metric=operating_days; aggregation=avg</t>
    </r>
  </si>
  <si>
    <t xml:space="preserve">aug300-333</t>
  </si>
  <si>
    <t xml:space="preserve">F033</t>
  </si>
  <si>
    <r>
      <rPr>
        <sz val="11"/>
        <color theme="1"/>
        <rFont val="맑은 고딕"/>
        <family val="0"/>
        <charset val="1"/>
      </rPr>
      <t xml:space="preserve">vendor100 063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0.522.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</si>
  <si>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334</t>
  </si>
  <si>
    <r>
      <rPr>
        <sz val="11"/>
        <color theme="1"/>
        <rFont val="Noto Sans CJK SC"/>
        <family val="2"/>
      </rPr>
      <t xml:space="preserve">이번 주 대구 달서구 소속 법인택시 최대 수입을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</si>
  <si>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get_billing_metrics(metric=revenue, scope=$resolve.scope, date=this_week, taxi_type=corporate,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</si>
  <si>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date=this_week; taxi_type=corporate; metric=revenue; aggregation=max</t>
    </r>
  </si>
  <si>
    <t xml:space="preserve">aug300-334</t>
  </si>
  <si>
    <t xml:space="preserve">335</t>
  </si>
  <si>
    <r>
      <rPr>
        <sz val="11"/>
        <color theme="1"/>
        <rFont val="Noto Sans CJK SC"/>
        <family val="2"/>
      </rPr>
      <t xml:space="preserve">휴일 </t>
    </r>
    <r>
      <rPr>
        <sz val="11"/>
        <color theme="1"/>
        <rFont val="맑은 고딕"/>
        <family val="0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택시 기준 최소 활성택시 대수가 얼마야</t>
    </r>
    <r>
      <rPr>
        <sz val="11"/>
        <color theme="1"/>
        <rFont val="맑은 고딕"/>
        <family val="0"/>
        <charset val="1"/>
      </rPr>
      <t xml:space="preserve">?</t>
    </r>
  </si>
  <si>
    <t xml:space="preserve">get_billing_metrics(metric=active_taxi_count, scope=scope:district:2700000000, date=holiday, aggregation=min)</t>
  </si>
  <si>
    <t xml:space="preserve">spatial_ref=scope:district:2700000000; space=direct_scope; date=holiday; metric=active_taxi_count; aggregation=min</t>
  </si>
  <si>
    <t xml:space="preserve">aug300-335</t>
  </si>
  <si>
    <t xml:space="preserve">F023</t>
  </si>
  <si>
    <t xml:space="preserve">336</t>
  </si>
  <si>
    <r>
      <rPr>
        <sz val="11"/>
        <color theme="1"/>
        <rFont val="Noto Sans CJK SC"/>
        <family val="2"/>
      </rPr>
      <t xml:space="preserve">올해 </t>
    </r>
    <r>
      <rPr>
        <sz val="11"/>
        <color theme="1"/>
        <rFont val="맑은 고딕"/>
        <family val="0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법인택시의 평균 가동률을 조회해줘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</si>
  <si>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get_billing_metrics(metric=active_taxi_ratio, scope=scope:district:2600000000, date=this_year, taxi_type=corporate, aggregation=avg)</t>
  </si>
  <si>
    <t xml:space="preserve">spatial_ref=scope:district:2600000000; space=direct_scope; date=this_year; taxi_type=corporate; metric=active_taxi_ratio; aggregation=avg</t>
  </si>
  <si>
    <t xml:space="preserve">aug300-336</t>
  </si>
  <si>
    <t xml:space="preserve">F022</t>
  </si>
  <si>
    <t xml:space="preserve">337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</si>
  <si>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일까지 대구 중구 소속 개인택시의 운행 일수 중간값은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</si>
  <si>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get_billing_metrics(metric=operating_days, scope=$resolve.scope, date=20260601-20260605, taxi_type=private, aggregation=med)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</si>
  <si>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맑은 고딕"/>
        <family val="0"/>
        <charset val="1"/>
      </rPr>
      <t xml:space="preserve">; space=admin; date=20260601-20260605; taxi_type=private; metric=operating_days; aggregation=med</t>
    </r>
  </si>
  <si>
    <t xml:space="preserve">aug300-337</t>
  </si>
  <si>
    <t xml:space="preserve">338</t>
  </si>
  <si>
    <r>
      <rPr>
        <sz val="11"/>
        <color theme="1"/>
        <rFont val="Noto Sans CJK SC"/>
        <family val="2"/>
      </rPr>
      <t xml:space="preserve">지난달 개인택시의 시도별 평균 수입을 높은 순서로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곳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</si>
  <si>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get_billing_metrics(metric=revenue, date=last_month, taxi_type=private, dimension=sido, order=top, limit=3, aggregation=avg)</t>
  </si>
  <si>
    <t xml:space="preserve">space=none; date=last_month; taxi_type=private; metric=revenue; aggregation=avg; group_by=sido; order=top; limit=3</t>
  </si>
  <si>
    <t xml:space="preserve">aug300-338</t>
  </si>
  <si>
    <t xml:space="preserve">F020</t>
  </si>
  <si>
    <t xml:space="preserve">agg_explicit, group_by, ranking, global</t>
  </si>
  <si>
    <t xml:space="preserve">076</t>
  </si>
  <si>
    <t xml:space="preserve">selection_v2 indepv2/n15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</si>
  <si>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vendor100 076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</si>
  <si>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339</t>
  </si>
  <si>
    <r>
      <rPr>
        <sz val="11"/>
        <color theme="1"/>
        <rFont val="Noto Sans CJK SC"/>
        <family val="2"/>
      </rPr>
      <t xml:space="preserve">지난주 시도별 법인택시 평균 가동률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</si>
  <si>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get_billing_metrics(metric=active_taxi_ratio, date=last_week, taxi_type=corporate, dimension=sido, order=bottom, limit=2, aggregation=avg)</t>
  </si>
  <si>
    <t xml:space="preserve">space=none; date=last_week; taxi_type=corporate; metric=active_taxi_ratio; aggregation=avg; group_by=sido; order=bottom; limit=2</t>
  </si>
  <si>
    <t xml:space="preserve">aug300-339</t>
  </si>
  <si>
    <t xml:space="preserve">015</t>
  </si>
  <si>
    <t xml:space="preserve">340</t>
  </si>
  <si>
    <r>
      <rPr>
        <sz val="11"/>
        <color theme="1"/>
        <rFont val="Noto Sans CJK SC"/>
        <family val="2"/>
      </rPr>
      <t xml:space="preserve">이번 달 요일별 법인택시 평균 수입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</si>
  <si>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get_billing_metrics(metric=revenue, date=this_month, taxi_type=corporate, dimension=dayofweek, order=top, limit=2, aggregation=avg)</t>
  </si>
  <si>
    <t xml:space="preserve">space=none; date=this_month; taxi_type=corporate; metric=revenue; aggregation=avg; group_by=dayofweek; order=top; limit=2</t>
  </si>
  <si>
    <t xml:space="preserve">aug300-340</t>
  </si>
  <si>
    <t xml:space="preserve">valid98 stage_v7/s04a</t>
  </si>
  <si>
    <t xml:space="preserve">341</t>
  </si>
  <si>
    <r>
      <rPr>
        <sz val="11"/>
        <color theme="1"/>
        <rFont val="Noto Sans CJK SC"/>
        <family val="2"/>
      </rPr>
      <t xml:space="preserve">지난주 요일별 개인택시 평균 운행 일수 하위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</si>
  <si>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get_billing_metrics(metric=operating_days, date=last_week, taxi_type=private, dimension=dayofweek, order=bottom, limit=3, aggregation=avg)</t>
  </si>
  <si>
    <t xml:space="preserve">space=none; date=last_week; taxi_type=private; metric=operating_days; aggregation=avg; group_by=dayofweek; order=bottom; limit=3</t>
  </si>
  <si>
    <t xml:space="preserve">aug300-341</t>
  </si>
  <si>
    <t xml:space="preserve">selection_v2 old44/g24</t>
  </si>
  <si>
    <t xml:space="preserve">342</t>
  </si>
  <si>
    <r>
      <rPr>
        <sz val="11"/>
        <color theme="1"/>
        <rFont val="Noto Sans CJK SC"/>
        <family val="2"/>
      </rPr>
      <t xml:space="preserve">이번 주 시도별 택시 평균 활성택시 대수 중 가장 높은 곳은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</si>
  <si>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get_billing_metrics(metric=active_taxi_count, date=this_week, dimension=sido, order=top, limit=1, aggregation=avg)</t>
  </si>
  <si>
    <t xml:space="preserve">space=none; date=this_week; metric=active_taxi_count; aggregation=avg; group_by=sido; order=top; limit=1</t>
  </si>
  <si>
    <t xml:space="preserve">aug300-342</t>
  </si>
  <si>
    <t xml:space="preserve">F021</t>
  </si>
  <si>
    <t xml:space="preserve">343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</si>
  <si>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 부산 부산진구 소속 법인택시 기준 총 수입이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</si>
  <si>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get_billing_metrics(metric=revenue, scope=$resolve.scope, date=20260605, taxi_type=corporate, aggregation=sum)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</si>
  <si>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; space=admin; date=20260605; taxi_type=corporate; metric=revenue; aggregation=sum</t>
    </r>
  </si>
  <si>
    <t xml:space="preserve">aug300-343</t>
  </si>
  <si>
    <t xml:space="preserve">344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</si>
  <si>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부산 수영구 소속 택시의 최대 가동률을 조회해줘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</si>
  <si>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get_billing_metrics(metric=active_taxi_ratio, scope=$resolve.scope, date=20260603, aggregation=max)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</si>
  <si>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; space=admin; date=20260603; metric=active_taxi_ratio; aggregation=max</t>
    </r>
  </si>
  <si>
    <t xml:space="preserve">aug300-344</t>
  </si>
  <si>
    <t xml:space="preserve">F034</t>
  </si>
  <si>
    <t xml:space="preserve">345</t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</si>
  <si>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일 대구 동구 소속 개인택시의 최소 운행 일수는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</si>
  <si>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get_billing_metrics(metric=operating_days, scope=$resolve.scope, date=20260602, taxi_type=private, aggregation=min)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</si>
  <si>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맑은 고딕"/>
        <family val="0"/>
        <charset val="1"/>
      </rPr>
      <t xml:space="preserve">; space=admin; date=20260602; taxi_type=private; metric=operating_days; aggregation=min</t>
    </r>
  </si>
  <si>
    <t xml:space="preserve">aug300-345</t>
  </si>
  <si>
    <t xml:space="preserve">346</t>
  </si>
  <si>
    <r>
      <rPr>
        <sz val="11"/>
        <color theme="1"/>
        <rFont val="Noto Sans CJK SC"/>
        <family val="2"/>
      </rPr>
      <t xml:space="preserve">지난해 시도별 법인택시 평균 수입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</si>
  <si>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get_billing_metrics(metric=revenue, date=last_year, taxi_type=corporate, dimension=sido, order=top, limit=2, aggregation=avg)</t>
  </si>
  <si>
    <t xml:space="preserve">space=none; date=last_year; taxi_type=corporate; metric=revenue; aggregation=avg; group_by=sido; order=top; limit=2</t>
  </si>
  <si>
    <t xml:space="preserve">aug300-346</t>
  </si>
  <si>
    <t xml:space="preserve">347</t>
  </si>
  <si>
    <r>
      <rPr>
        <sz val="11"/>
        <color theme="1"/>
        <rFont val="Noto Sans CJK SC"/>
        <family val="2"/>
      </rPr>
      <t xml:space="preserve">지난주 시도별 법인택시 평균 가동률 하위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</si>
  <si>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get_billing_metrics(metric=active_taxi_ratio, date=last_week, taxi_type=corporate, dimension=sido, order=bottom, limit=3, aggregation=avg)</t>
  </si>
  <si>
    <t xml:space="preserve">space=none; date=last_week; taxi_type=corporate; metric=active_taxi_ratio; aggregation=avg; group_by=sido; order=bottom; limit=3</t>
  </si>
  <si>
    <t xml:space="preserve">aug300-347</t>
  </si>
  <si>
    <t xml:space="preserve">348</t>
  </si>
  <si>
    <r>
      <rPr>
        <sz val="11"/>
        <color theme="1"/>
        <rFont val="Noto Sans CJK SC"/>
        <family val="2"/>
      </rPr>
      <t xml:space="preserve">지난달 요일별 법인택시 평균 수입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</si>
  <si>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get_billing_metrics(metric=revenue, date=last_month, taxi_type=corporate, dimension=dayofweek, order=top, limit=2, aggregation=avg)</t>
  </si>
  <si>
    <t xml:space="preserve">space=none; date=last_month; taxi_type=corporate; metric=revenue; aggregation=avg; group_by=dayofweek; order=top; limit=2</t>
  </si>
  <si>
    <t xml:space="preserve">aug300-348</t>
  </si>
  <si>
    <t xml:space="preserve">349</t>
  </si>
  <si>
    <r>
      <rPr>
        <sz val="11"/>
        <color theme="1"/>
        <rFont val="Noto Sans CJK SC"/>
        <family val="2"/>
      </rPr>
      <t xml:space="preserve">지난주 요일별 개인택시 평균 운행 일수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</si>
  <si>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get_billing_metrics(metric=operating_days, date=last_week, taxi_type=private, dimension=dayofweek, order=bottom, limit=2, aggregation=avg)</t>
  </si>
  <si>
    <t xml:space="preserve">space=none; date=last_week; taxi_type=private; metric=operating_days; aggregation=avg; group_by=dayofweek; order=bottom; limit=2</t>
  </si>
  <si>
    <t xml:space="preserve">aug300-349</t>
  </si>
  <si>
    <t xml:space="preserve">350</t>
  </si>
  <si>
    <r>
      <rPr>
        <sz val="11"/>
        <color theme="1"/>
        <rFont val="Noto Sans CJK SC"/>
        <family val="2"/>
      </rPr>
      <t xml:space="preserve">지난해 대구 법인택시의 월별 총수입 가운데 최고값은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</si>
  <si>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get_billing_metrics(metric=revenue, scope=$resolve.scope, date=last_year, taxi_type=corporate, aggregation=sum, bucket=month, rollup=max)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</si>
  <si>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; space=admin; date=last_year; taxi_type=corporate; metric=revenue; aggregation=sum; bucket=month; rollup=max</t>
    </r>
  </si>
  <si>
    <t xml:space="preserve">aug300-350</t>
  </si>
  <si>
    <t xml:space="preserve">F027</t>
  </si>
  <si>
    <t xml:space="preserve">agg_explicit, bucket_month</t>
  </si>
  <si>
    <t xml:space="preserve">100</t>
  </si>
  <si>
    <t xml:space="preserve">valid98 stage_v7/s03a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</si>
  <si>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vendor100 100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</si>
  <si>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351</t>
  </si>
  <si>
    <r>
      <rPr>
        <sz val="11"/>
        <color theme="1"/>
        <rFont val="Noto Sans CJK SC"/>
        <family val="2"/>
      </rPr>
      <t xml:space="preserve">지난해 부산 소속 개인택시의 월별 평균 수입 중 중간값은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</si>
  <si>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get_billing_metrics(metric=revenue, scope=$resolve.scope, date=last_year, taxi_type=private, aggregation=avg, bucket=month, rollup=med)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</si>
  <si>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; space=admin; date=last_year; taxi_type=private; metric=revenue; aggregation=avg; bucket=month; rollup=med</t>
    </r>
  </si>
  <si>
    <t xml:space="preserve">aug300-351</t>
  </si>
  <si>
    <t xml:space="preserve">352</t>
  </si>
  <si>
    <r>
      <rPr>
        <sz val="11"/>
        <color theme="1"/>
        <rFont val="Noto Sans CJK SC"/>
        <family val="2"/>
      </rPr>
      <t xml:space="preserve">올해 서울 소속 법인택시의 주별 평균 활성택시 대수 중 가장 큰 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</si>
  <si>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)
get_billing_metrics(metric=active_taxi_count, scope=$resolve.scope, date=this_year, taxi_type=corporate, aggregation=avg, bucket=week, rollup=max)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</si>
  <si>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맑은 고딕"/>
        <family val="0"/>
        <charset val="1"/>
      </rPr>
      <t xml:space="preserve">; space=admin; date=this_year; taxi_type=corporate; metric=active_taxi_count; aggregation=avg; bucket=week; rollup=max</t>
    </r>
  </si>
  <si>
    <t xml:space="preserve">aug300-352</t>
  </si>
  <si>
    <t xml:space="preserve">agg_explicit, bucket_week</t>
  </si>
  <si>
    <t xml:space="preserve">353</t>
  </si>
  <si>
    <r>
      <rPr>
        <sz val="11"/>
        <color theme="1"/>
        <rFont val="Noto Sans CJK SC"/>
        <family val="2"/>
      </rPr>
      <t xml:space="preserve">지난달 인천 소속 개인택시의 주별 평균 가동률 중 가장 작은 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</si>
  <si>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)
get_billing_metrics(metric=active_taxi_ratio, scope=$resolve.scope, date=last_month, taxi_type=private, aggregation=avg, bucket=week, rollup=min)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</si>
  <si>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맑은 고딕"/>
        <family val="0"/>
        <charset val="1"/>
      </rPr>
      <t xml:space="preserve">; space=admin; date=last_month; taxi_type=private; metric=active_taxi_ratio; aggregation=avg; bucket=week; rollup=min</t>
    </r>
  </si>
  <si>
    <t xml:space="preserve">aug300-353</t>
  </si>
  <si>
    <t xml:space="preserve">043</t>
  </si>
  <si>
    <t xml:space="preserve">valid98 stage_v7/s03c</t>
  </si>
  <si>
    <t xml:space="preserve">354</t>
  </si>
  <si>
    <r>
      <rPr>
        <sz val="11"/>
        <color theme="1"/>
        <rFont val="Noto Sans CJK SC"/>
        <family val="2"/>
      </rPr>
      <t xml:space="preserve">지난달 대구 수성구 소속 개인택시의 주별 평균 운행 일수 중 중간값은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</si>
  <si>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get_billing_metrics(metric=operating_days, scope=$resolve.scope, date=last_month, taxi_type=private, aggregation=avg, bucket=week, rollup=med)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</si>
  <si>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; space=admin; date=last_month; taxi_type=private; metric=operating_days; aggregation=avg; bucket=week; rollup=med</t>
    </r>
  </si>
  <si>
    <t xml:space="preserve">aug300-354</t>
  </si>
  <si>
    <t xml:space="preserve">F032</t>
  </si>
  <si>
    <t xml:space="preserve">098</t>
  </si>
  <si>
    <r>
      <rPr>
        <sz val="11"/>
        <color theme="1"/>
        <rFont val="맑은 고딕"/>
        <family val="0"/>
        <charset val="1"/>
      </rPr>
      <t xml:space="preserve">vendor100 098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0.645.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</si>
  <si>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355</t>
  </si>
  <si>
    <r>
      <rPr>
        <sz val="11"/>
        <color theme="1"/>
        <rFont val="Noto Sans CJK SC"/>
        <family val="2"/>
      </rPr>
      <t xml:space="preserve">지난해 </t>
    </r>
    <r>
      <rPr>
        <sz val="11"/>
        <color theme="1"/>
        <rFont val="맑은 고딕"/>
        <family val="0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개인택시의 월별 총 수입 중 가장 작은 값은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</si>
  <si>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get_billing_metrics(metric=revenue, scope=scope:district:2700000000, date=last_year, taxi_type=private, aggregation=sum, bucket=month, rollup=min)</t>
  </si>
  <si>
    <t xml:space="preserve">spatial_ref=scope:district:2700000000; space=direct_scope; date=last_year; taxi_type=private; metric=revenue; aggregation=sum; bucket=month; rollup=min</t>
  </si>
  <si>
    <t xml:space="preserve">aug300-355</t>
  </si>
  <si>
    <t xml:space="preserve">F018</t>
  </si>
  <si>
    <t xml:space="preserve">agg_explicit, bucket_month, direct_scope</t>
  </si>
  <si>
    <t xml:space="preserve">356</t>
  </si>
  <si>
    <r>
      <rPr>
        <sz val="11"/>
        <color theme="1"/>
        <rFont val="Noto Sans CJK SC"/>
        <family val="2"/>
      </rPr>
      <t xml:space="preserve">올해 </t>
    </r>
    <r>
      <rPr>
        <sz val="11"/>
        <color theme="1"/>
        <rFont val="맑은 고딕"/>
        <family val="0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택시의 주별 평균 활성택시 대수 중 평균은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</si>
  <si>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get_billing_metrics(metric=active_taxi_count, scope=scope:district:2600000000, date=this_year, aggregation=avg, bucket=week, rollup=avg)</t>
  </si>
  <si>
    <t xml:space="preserve">spatial_ref=scope:district:2600000000; space=direct_scope; date=this_year; metric=active_taxi_count; aggregation=avg; bucket=week; rollup=avg</t>
  </si>
  <si>
    <t xml:space="preserve">aug300-356</t>
  </si>
  <si>
    <t xml:space="preserve">F019</t>
  </si>
  <si>
    <t xml:space="preserve">agg_explicit, bucket_week, direct_scope</t>
  </si>
  <si>
    <t xml:space="preserve">357</t>
  </si>
  <si>
    <r>
      <rPr>
        <sz val="11"/>
        <color theme="1"/>
        <rFont val="Noto Sans CJK SC"/>
        <family val="2"/>
      </rPr>
      <t xml:space="preserve">이번 달 대구 달서구 소속 법인택시의 주별 평균 가동률 중 가장 큰 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</si>
  <si>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)
get_billing_metrics(metric=active_taxi_ratio, scope=$resolve.scope, date=this_month, taxi_type=corporate, aggregation=avg, bucket=week, rollup=max)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</si>
  <si>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맑은 고딕"/>
        <family val="0"/>
        <charset val="1"/>
      </rPr>
      <t xml:space="preserve">; space=admin; date=this_month; taxi_type=corporate; metric=active_taxi_ratio; aggregation=avg; bucket=week; rollup=max</t>
    </r>
  </si>
  <si>
    <t xml:space="preserve">aug300-357</t>
  </si>
  <si>
    <t xml:space="preserve">358</t>
  </si>
  <si>
    <r>
      <rPr>
        <sz val="11"/>
        <color theme="1"/>
        <rFont val="Noto Sans CJK SC"/>
        <family val="2"/>
      </rPr>
      <t xml:space="preserve">지난해 부산 부산진구 소속 개인택시의 월별 평균 운행 일수 중 가장 작은 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</si>
  <si>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get_billing_metrics(metric=operating_days, scope=$resolve.scope, date=last_year, taxi_type=private, aggregation=avg, bucket=month, rollup=min)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</si>
  <si>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맑은 고딕"/>
        <family val="0"/>
        <charset val="1"/>
      </rPr>
      <t xml:space="preserve">; space=admin; date=last_year; taxi_type=private; metric=operating_days; aggregation=avg; bucket=month; rollup=min</t>
    </r>
  </si>
  <si>
    <t xml:space="preserve">aug300-358</t>
  </si>
  <si>
    <t xml:space="preserve">359</t>
  </si>
  <si>
    <r>
      <rPr>
        <sz val="11"/>
        <color theme="1"/>
        <rFont val="맑은 고딕"/>
        <family val="0"/>
        <charset val="1"/>
      </rPr>
      <t xml:space="preserve">scope:h3:8830e1d87ffffff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</si>
  <si>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get_scope_name(scope=scope:h3:8830e1d87ffffff)</t>
  </si>
  <si>
    <r>
      <rPr>
        <sz val="11"/>
        <color theme="1"/>
        <rFont val="맑은 고딕"/>
        <family val="0"/>
        <charset val="1"/>
      </rPr>
      <t xml:space="preserve">SCOPE_NAME</t>
    </r>
    <r>
      <rPr>
        <sz val="11"/>
        <color theme="1"/>
        <rFont val="Noto Sans CJK SC"/>
        <family val="2"/>
      </rPr>
      <t xml:space="preserve">은 실행 </t>
    </r>
    <r>
      <rPr>
        <sz val="11"/>
        <color theme="1"/>
        <rFont val="맑은 고딕"/>
        <family val="0"/>
        <charset val="1"/>
      </rPr>
      <t xml:space="preserve">Factor</t>
    </r>
    <r>
      <rPr>
        <sz val="11"/>
        <color theme="1"/>
        <rFont val="Noto Sans CJK SC"/>
        <family val="2"/>
      </rPr>
      <t xml:space="preserve">가 제한적이므로 표현</t>
    </r>
    <r>
      <rPr>
        <sz val="11"/>
        <color theme="1"/>
        <rFont val="맑은 고딕"/>
        <family val="0"/>
        <charset val="1"/>
      </rPr>
      <t xml:space="preserve">·scope </t>
    </r>
    <r>
      <rPr>
        <sz val="11"/>
        <color theme="1"/>
        <rFont val="Noto Sans CJK SC"/>
        <family val="2"/>
      </rPr>
      <t xml:space="preserve">종류 다양화 중심</t>
    </r>
  </si>
  <si>
    <t xml:space="preserve">SCOPE_NAME</t>
  </si>
  <si>
    <t xml:space="preserve">spatial_ref=scope:h3:8830e1d87ffffff; space=direct_scope; scope_level=h3</t>
  </si>
  <si>
    <t xml:space="preserve">aug300-359</t>
  </si>
  <si>
    <t xml:space="preserve">F075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</si>
  <si>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vendor100 082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; vendor100 082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0.511.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</si>
  <si>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360</t>
  </si>
  <si>
    <r>
      <rPr>
        <sz val="11"/>
        <color theme="1"/>
        <rFont val="맑은 고딕"/>
        <family val="0"/>
        <charset val="1"/>
      </rPr>
      <t xml:space="preserve">scope:edge:11234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</si>
  <si>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get_scope_name(scope=scope:edge:11234)</t>
  </si>
  <si>
    <t xml:space="preserve">spatial_ref=scope:edge:11234; space=direct_scope; scope_level=edge</t>
  </si>
  <si>
    <t xml:space="preserve">aug300-360</t>
  </si>
  <si>
    <t xml:space="preserve">F073</t>
  </si>
  <si>
    <t xml:space="preserve">361</t>
  </si>
  <si>
    <r>
      <rPr>
        <sz val="11"/>
        <color theme="1"/>
        <rFont val="맑은 고딕"/>
        <family val="0"/>
        <charset val="1"/>
      </rPr>
      <t xml:space="preserve">scope:h3:8830e1d85ffffff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</si>
  <si>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get_scope_name(scope=scope:h3:8830e1d85ffffff)</t>
  </si>
  <si>
    <t xml:space="preserve">spatial_ref=scope:h3:8830e1d85ffffff; space=direct_scope; scope_level=h3</t>
  </si>
  <si>
    <t xml:space="preserve">aug300-361</t>
  </si>
  <si>
    <t xml:space="preserve">362</t>
  </si>
  <si>
    <r>
      <rPr>
        <sz val="11"/>
        <color theme="1"/>
        <rFont val="맑은 고딕"/>
        <family val="0"/>
        <charset val="1"/>
      </rPr>
      <t xml:space="preserve">scope:h3:8830e1d81ffffff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</si>
  <si>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get_scope_name(scope=scope:h3:8830e1d81ffffff)</t>
  </si>
  <si>
    <t xml:space="preserve">spatial_ref=scope:h3:8830e1d81ffffff; space=direct_scope; scope_level=h3</t>
  </si>
  <si>
    <t xml:space="preserve">aug300-362</t>
  </si>
  <si>
    <t xml:space="preserve">363</t>
  </si>
  <si>
    <r>
      <rPr>
        <sz val="11"/>
        <color theme="1"/>
        <rFont val="맑은 고딕"/>
        <family val="0"/>
        <charset val="1"/>
      </rPr>
      <t xml:space="preserve">scope:district:2723510100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</si>
  <si>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get_scope_name(scope=scope:district:2723510100)</t>
  </si>
  <si>
    <t xml:space="preserve">spatial_ref=scope:district:2723510100; space=direct_scope; scope_level=district</t>
  </si>
  <si>
    <t xml:space="preserve">aug300-363</t>
  </si>
  <si>
    <t xml:space="preserve">F072</t>
  </si>
  <si>
    <t xml:space="preserve">364</t>
  </si>
  <si>
    <r>
      <rPr>
        <sz val="11"/>
        <color theme="1"/>
        <rFont val="맑은 고딕"/>
        <family val="0"/>
        <charset val="1"/>
      </rPr>
      <t xml:space="preserve">scope:district:2726000000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</si>
  <si>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get_scope_name(scope=scope:district:2726000000)</t>
  </si>
  <si>
    <t xml:space="preserve">spatial_ref=scope:district:2726000000; space=direct_scope; scope_level=district</t>
  </si>
  <si>
    <t xml:space="preserve">aug300-364</t>
  </si>
  <si>
    <t xml:space="preserve">365</t>
  </si>
  <si>
    <r>
      <rPr>
        <sz val="11"/>
        <color theme="1"/>
        <rFont val="맑은 고딕"/>
        <family val="0"/>
        <charset val="1"/>
      </rPr>
      <t xml:space="preserve">scope:h3:8830e1d89ffffff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</si>
  <si>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get_scope_name(scope=scope:h3:8830e1d89ffffff)</t>
  </si>
  <si>
    <t xml:space="preserve">spatial_ref=scope:h3:8830e1d89ffffff; space=direct_scope; scope_level=h3</t>
  </si>
  <si>
    <t xml:space="preserve">aug300-365</t>
  </si>
  <si>
    <t xml:space="preserve">366</t>
  </si>
  <si>
    <r>
      <rPr>
        <sz val="11"/>
        <color theme="1"/>
        <rFont val="맑은 고딕"/>
        <family val="0"/>
        <charset val="1"/>
      </rPr>
      <t xml:space="preserve">scope:h3:8830e1d87ffffff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</si>
  <si>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aug300-366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</si>
  <si>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vendor100 082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; vendor100 082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0.512.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</si>
  <si>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367</t>
  </si>
  <si>
    <r>
      <rPr>
        <sz val="11"/>
        <color theme="1"/>
        <rFont val="맑은 고딕"/>
        <family val="0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</si>
  <si>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get_scope_name(scope=scope:district:2600000000)</t>
  </si>
  <si>
    <t xml:space="preserve">spatial_ref=scope:district:2600000000; space=direct_scope; scope_level=district</t>
  </si>
  <si>
    <t xml:space="preserve">aug300-367</t>
  </si>
  <si>
    <t xml:space="preserve">368</t>
  </si>
  <si>
    <r>
      <rPr>
        <sz val="11"/>
        <color theme="1"/>
        <rFont val="맑은 고딕"/>
        <family val="0"/>
        <charset val="1"/>
      </rPr>
      <t xml:space="preserve">scope:district:2617010100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</si>
  <si>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get_scope_name(scope=scope:district:2617010100)</t>
  </si>
  <si>
    <t xml:space="preserve">spatial_ref=scope:district:2617010100; space=direct_scope; scope_level=district</t>
  </si>
  <si>
    <t xml:space="preserve">aug300-368</t>
  </si>
  <si>
    <t xml:space="preserve">369</t>
  </si>
  <si>
    <r>
      <rPr>
        <sz val="11"/>
        <color theme="1"/>
        <rFont val="맑은 고딕"/>
        <family val="0"/>
        <charset val="1"/>
      </rPr>
      <t xml:space="preserve">scope:district:2723510100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맑은 고딕"/>
        <family val="0"/>
        <charset val="1"/>
      </rPr>
      <t xml:space="preserve">?</t>
    </r>
  </si>
  <si>
    <t xml:space="preserve">aug300-369</t>
  </si>
  <si>
    <r>
      <rPr>
        <sz val="11"/>
        <color theme="1"/>
        <rFont val="맑은 고딕"/>
        <family val="0"/>
        <charset val="1"/>
      </rPr>
      <t xml:space="preserve">vendor100 097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0.523.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</si>
  <si>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370</t>
  </si>
  <si>
    <r>
      <rPr>
        <sz val="11"/>
        <color theme="1"/>
        <rFont val="맑은 고딕"/>
        <family val="0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</si>
  <si>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get_scope_name(scope=scope:district:2700000000)</t>
  </si>
  <si>
    <t xml:space="preserve">spatial_ref=scope:district:2700000000; space=direct_scope; scope_level=district</t>
  </si>
  <si>
    <t xml:space="preserve">aug300-370</t>
  </si>
  <si>
    <t xml:space="preserve">371</t>
  </si>
  <si>
    <r>
      <rPr>
        <sz val="11"/>
        <color theme="1"/>
        <rFont val="맑은 고딕"/>
        <family val="0"/>
        <charset val="1"/>
      </rPr>
      <t xml:space="preserve">scope:gz:33212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맑은 고딕"/>
        <family val="0"/>
        <charset val="1"/>
      </rPr>
      <t xml:space="preserve">?</t>
    </r>
  </si>
  <si>
    <t xml:space="preserve">get_scope_name(scope=scope:gz:33212)</t>
  </si>
  <si>
    <t xml:space="preserve">spatial_ref=scope:gz:33212; space=direct_scope; scope_level=gz</t>
  </si>
  <si>
    <r>
      <rPr>
        <sz val="11"/>
        <color theme="1"/>
        <rFont val="Noto Sans CJK SC"/>
        <family val="2"/>
      </rPr>
      <t xml:space="preserve">난이도 수정</t>
    </r>
    <r>
      <rPr>
        <sz val="11"/>
        <color theme="1"/>
        <rFont val="맑은 고딕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셀 메모 참고</t>
    </r>
    <r>
      <rPr>
        <sz val="11"/>
        <color theme="1"/>
        <rFont val="맑은 고딕"/>
        <family val="0"/>
        <charset val="1"/>
      </rPr>
      <t xml:space="preserve">)</t>
    </r>
  </si>
  <si>
    <t xml:space="preserve">aug300-371</t>
  </si>
  <si>
    <t xml:space="preserve">F074</t>
  </si>
  <si>
    <t xml:space="preserve">aux_test_v1 final_v12/f18</t>
  </si>
  <si>
    <t xml:space="preserve">372</t>
  </si>
  <si>
    <r>
      <rPr>
        <sz val="11"/>
        <color theme="1"/>
        <rFont val="맑은 고딕"/>
        <family val="0"/>
        <charset val="1"/>
      </rPr>
      <t xml:space="preserve">scope:gz:3982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</si>
  <si>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get_scope_name(scope=scope:gz:3982)</t>
  </si>
  <si>
    <t xml:space="preserve">spatial_ref=scope:gz:3982; space=direct_scope; scope_level=gz</t>
  </si>
  <si>
    <t xml:space="preserve">aug300-372</t>
  </si>
  <si>
    <t xml:space="preserve">373</t>
  </si>
  <si>
    <r>
      <rPr>
        <sz val="11"/>
        <color theme="1"/>
        <rFont val="맑은 고딕"/>
        <family val="0"/>
        <charset val="1"/>
      </rPr>
      <t xml:space="preserve">scope:district:2723510100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</si>
  <si>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aug300-373</t>
  </si>
  <si>
    <t xml:space="preserve">축소</t>
  </si>
  <si>
    <r>
      <rPr>
        <sz val="11"/>
        <color theme="1"/>
        <rFont val="맑은 고딕"/>
        <family val="0"/>
        <charset val="1"/>
      </rPr>
      <t xml:space="preserve">SCOPE_NAME </t>
    </r>
    <r>
      <rPr>
        <sz val="11"/>
        <color theme="1"/>
        <rFont val="Noto Sans CJK SC"/>
        <family val="2"/>
      </rPr>
      <t xml:space="preserve">같은 </t>
    </r>
    <r>
      <rPr>
        <sz val="11"/>
        <color theme="1"/>
        <rFont val="맑은 고딕"/>
        <family val="0"/>
        <charset val="1"/>
      </rPr>
      <t xml:space="preserve">scope</t>
    </r>
    <r>
      <rPr>
        <sz val="11"/>
        <color theme="1"/>
        <rFont val="Noto Sans CJK SC"/>
        <family val="2"/>
      </rPr>
      <t xml:space="preserve">의 표현만 다른 반복</t>
    </r>
    <r>
      <rPr>
        <sz val="11"/>
        <color theme="1"/>
        <rFont val="맑은 고딕"/>
        <family val="0"/>
        <charset val="1"/>
      </rPr>
      <t xml:space="preserve">. scope</t>
    </r>
    <r>
      <rPr>
        <sz val="11"/>
        <color theme="1"/>
        <rFont val="Noto Sans CJK SC"/>
        <family val="2"/>
      </rPr>
      <t xml:space="preserve">당 </t>
    </r>
    <r>
      <rPr>
        <sz val="11"/>
        <color theme="1"/>
        <rFont val="맑은 고딕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문항만 남김</t>
    </r>
  </si>
  <si>
    <t xml:space="preserve">374</t>
  </si>
  <si>
    <r>
      <rPr>
        <sz val="11"/>
        <color theme="1"/>
        <rFont val="맑은 고딕"/>
        <family val="0"/>
        <charset val="1"/>
      </rPr>
      <t xml:space="preserve">scope:gz:33212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</si>
  <si>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aug300-374</t>
  </si>
  <si>
    <t xml:space="preserve">375</t>
  </si>
  <si>
    <r>
      <rPr>
        <sz val="11"/>
        <color theme="1"/>
        <rFont val="맑은 고딕"/>
        <family val="0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</si>
  <si>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aug300-375</t>
  </si>
  <si>
    <t xml:space="preserve">376</t>
  </si>
  <si>
    <r>
      <rPr>
        <sz val="11"/>
        <color theme="1"/>
        <rFont val="맑은 고딕"/>
        <family val="0"/>
        <charset val="1"/>
      </rPr>
      <t xml:space="preserve">scope:gz:3982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맑은 고딕"/>
        <family val="0"/>
        <charset val="1"/>
      </rPr>
      <t xml:space="preserve">?</t>
    </r>
  </si>
  <si>
    <t xml:space="preserve">aug300-376</t>
  </si>
  <si>
    <t xml:space="preserve">377</t>
  </si>
  <si>
    <r>
      <rPr>
        <sz val="11"/>
        <color theme="1"/>
        <rFont val="맑은 고딕"/>
        <family val="0"/>
        <charset val="1"/>
      </rPr>
      <t xml:space="preserve">scope:h3:8830e1d83ffffff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</si>
  <si>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get_scope_name(scope=scope:h3:8830e1d83ffffff)</t>
  </si>
  <si>
    <t xml:space="preserve">spatial_ref=scope:h3:8830e1d83ffffff; space=direct_scope; scope_level=h3</t>
  </si>
  <si>
    <t xml:space="preserve">aug300-377</t>
  </si>
  <si>
    <t xml:space="preserve">378</t>
  </si>
  <si>
    <r>
      <rPr>
        <sz val="11"/>
        <color theme="1"/>
        <rFont val="맑은 고딕"/>
        <family val="0"/>
        <charset val="1"/>
      </rPr>
      <t xml:space="preserve">scope:district:2617010100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</si>
  <si>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aug300-378</t>
  </si>
  <si>
    <t xml:space="preserve">379</t>
  </si>
  <si>
    <r>
      <rPr>
        <sz val="11"/>
        <color theme="1"/>
        <rFont val="맑은 고딕"/>
        <family val="0"/>
        <charset val="1"/>
      </rPr>
      <t xml:space="preserve">scope:h3:8830e1d85ffffff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</si>
  <si>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aug300-379</t>
  </si>
  <si>
    <t xml:space="preserve">380</t>
  </si>
  <si>
    <r>
      <rPr>
        <sz val="11"/>
        <color theme="1"/>
        <rFont val="맑은 고딕"/>
        <family val="0"/>
        <charset val="1"/>
      </rPr>
      <t xml:space="preserve">scope:h3:8830e1d83ffffff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</si>
  <si>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aug300-380</t>
  </si>
  <si>
    <t xml:space="preserve">381</t>
  </si>
  <si>
    <r>
      <rPr>
        <sz val="11"/>
        <color theme="1"/>
        <rFont val="맑은 고딕"/>
        <family val="0"/>
        <charset val="1"/>
      </rPr>
      <t xml:space="preserve">scope:edge:1742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</si>
  <si>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get_scope_name(scope=scope:edge:1742)</t>
  </si>
  <si>
    <t xml:space="preserve">spatial_ref=scope:edge:1742; space=direct_scope; scope_level=edge</t>
  </si>
  <si>
    <t xml:space="preserve">aug300-381</t>
  </si>
  <si>
    <t xml:space="preserve">382</t>
  </si>
  <si>
    <r>
      <rPr>
        <sz val="11"/>
        <color theme="1"/>
        <rFont val="맑은 고딕"/>
        <family val="0"/>
        <charset val="1"/>
      </rPr>
      <t xml:space="preserve">scope:h3:8830e1d89ffffff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</si>
  <si>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aug300-382</t>
  </si>
  <si>
    <t xml:space="preserve">383</t>
  </si>
  <si>
    <r>
      <rPr>
        <sz val="11"/>
        <color theme="1"/>
        <rFont val="맑은 고딕"/>
        <family val="0"/>
        <charset val="1"/>
      </rPr>
      <t xml:space="preserve">scope:h3:8830e1d85ffffff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맑은 고딕"/>
        <family val="0"/>
        <charset val="1"/>
      </rPr>
      <t xml:space="preserve">?</t>
    </r>
  </si>
  <si>
    <t xml:space="preserve">aug300-383</t>
  </si>
  <si>
    <t xml:space="preserve">384</t>
  </si>
  <si>
    <r>
      <rPr>
        <sz val="11"/>
        <color theme="1"/>
        <rFont val="맑은 고딕"/>
        <family val="0"/>
        <charset val="1"/>
      </rPr>
      <t xml:space="preserve">scope:edge:11234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</si>
  <si>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aug300-384</t>
  </si>
  <si>
    <t xml:space="preserve">385</t>
  </si>
  <si>
    <r>
      <rPr>
        <sz val="11"/>
        <color theme="1"/>
        <rFont val="맑은 고딕"/>
        <family val="0"/>
        <charset val="1"/>
      </rPr>
      <t xml:space="preserve">scope:edge:1742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맑은 고딕"/>
        <family val="0"/>
        <charset val="1"/>
      </rPr>
      <t xml:space="preserve">?</t>
    </r>
  </si>
  <si>
    <t xml:space="preserve">aug300-385</t>
  </si>
  <si>
    <t xml:space="preserve">386</t>
  </si>
  <si>
    <r>
      <rPr>
        <sz val="11"/>
        <color theme="1"/>
        <rFont val="맑은 고딕"/>
        <family val="0"/>
        <charset val="1"/>
      </rPr>
      <t xml:space="preserve">scope:h3:8830e1d81ffffff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</si>
  <si>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aug300-386</t>
  </si>
  <si>
    <t xml:space="preserve">387</t>
  </si>
  <si>
    <r>
      <rPr>
        <sz val="11"/>
        <color theme="1"/>
        <rFont val="맑은 고딕"/>
        <family val="0"/>
        <charset val="1"/>
      </rPr>
      <t xml:space="preserve">scope:gz:3982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</si>
  <si>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aug300-387</t>
  </si>
  <si>
    <t xml:space="preserve">388</t>
  </si>
  <si>
    <r>
      <rPr>
        <sz val="11"/>
        <color theme="1"/>
        <rFont val="맑은 고딕"/>
        <family val="0"/>
        <charset val="1"/>
      </rPr>
      <t xml:space="preserve">scope:district:2726000000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</si>
  <si>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aug300-388</t>
  </si>
  <si>
    <t xml:space="preserve">389</t>
  </si>
  <si>
    <r>
      <rPr>
        <sz val="11"/>
        <color theme="1"/>
        <rFont val="맑은 고딕"/>
        <family val="0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맑은 고딕"/>
        <family val="0"/>
        <charset val="1"/>
      </rPr>
      <t xml:space="preserve">?</t>
    </r>
  </si>
  <si>
    <t xml:space="preserve">aug300-389</t>
  </si>
  <si>
    <r>
      <rPr>
        <sz val="11"/>
        <color theme="1"/>
        <rFont val="맑은 고딕"/>
        <family val="0"/>
        <charset val="1"/>
      </rPr>
      <t xml:space="preserve">vendor100 042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0.500.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</si>
  <si>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390</t>
  </si>
  <si>
    <r>
      <rPr>
        <sz val="11"/>
        <color theme="1"/>
        <rFont val="맑은 고딕"/>
        <family val="0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</si>
  <si>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aug300-390</t>
  </si>
  <si>
    <t xml:space="preserve">391</t>
  </si>
  <si>
    <r>
      <rPr>
        <sz val="11"/>
        <color theme="1"/>
        <rFont val="맑은 고딕"/>
        <family val="0"/>
        <charset val="1"/>
      </rPr>
      <t xml:space="preserve">scope:edge:11234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맑은 고딕"/>
        <family val="0"/>
        <charset val="1"/>
      </rPr>
      <t xml:space="preserve">?</t>
    </r>
  </si>
  <si>
    <t xml:space="preserve">aug300-391</t>
  </si>
  <si>
    <t xml:space="preserve">392</t>
  </si>
  <si>
    <r>
      <rPr>
        <sz val="11"/>
        <color theme="1"/>
        <rFont val="맑은 고딕"/>
        <family val="0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맑은 고딕"/>
        <family val="0"/>
        <charset val="1"/>
      </rPr>
      <t xml:space="preserve">?</t>
    </r>
  </si>
  <si>
    <t xml:space="preserve">aug300-392</t>
  </si>
  <si>
    <t xml:space="preserve">393</t>
  </si>
  <si>
    <r>
      <rPr>
        <sz val="11"/>
        <color theme="1"/>
        <rFont val="맑은 고딕"/>
        <family val="0"/>
        <charset val="1"/>
      </rPr>
      <t xml:space="preserve">scope:gz:33212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</si>
  <si>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aug300-393</t>
  </si>
  <si>
    <t xml:space="preserve">394</t>
  </si>
  <si>
    <r>
      <rPr>
        <sz val="11"/>
        <color theme="1"/>
        <rFont val="맑은 고딕"/>
        <family val="0"/>
        <charset val="1"/>
      </rPr>
      <t xml:space="preserve">scope:district:2726000000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맑은 고딕"/>
        <family val="0"/>
        <charset val="1"/>
      </rPr>
      <t xml:space="preserve">?</t>
    </r>
  </si>
  <si>
    <t xml:space="preserve">aug300-394</t>
  </si>
  <si>
    <r>
      <rPr>
        <sz val="11"/>
        <color theme="1"/>
        <rFont val="맑은 고딕"/>
        <family val="0"/>
        <charset val="1"/>
      </rPr>
      <t xml:space="preserve">selection·valid·aux </t>
    </r>
    <r>
      <rPr>
        <sz val="11"/>
        <color theme="1"/>
        <rFont val="Noto Sans CJK SC"/>
        <family val="2"/>
      </rPr>
      <t xml:space="preserve">보호셋과 문자 </t>
    </r>
    <r>
      <rPr>
        <sz val="11"/>
        <color theme="1"/>
        <rFont val="맑은 고딕"/>
        <family val="0"/>
        <charset val="1"/>
      </rPr>
      <t xml:space="preserve">3-gram Jaccard ≥ 0.5(aux_test_v1 final_v12/f17, 0.556). </t>
    </r>
    <r>
      <rPr>
        <sz val="11"/>
        <color theme="1"/>
        <rFont val="Noto Sans CJK SC"/>
        <family val="2"/>
      </rPr>
      <t xml:space="preserve">학습</t>
    </r>
    <r>
      <rPr>
        <sz val="11"/>
        <color theme="1"/>
        <rFont val="맑은 고딕"/>
        <family val="0"/>
        <charset val="1"/>
      </rPr>
      <t xml:space="preserve">·holdout </t>
    </r>
    <r>
      <rPr>
        <sz val="11"/>
        <color theme="1"/>
        <rFont val="Noto Sans CJK SC"/>
        <family val="2"/>
      </rPr>
      <t xml:space="preserve">모두 쓰지 않음</t>
    </r>
  </si>
  <si>
    <t xml:space="preserve">395</t>
  </si>
  <si>
    <r>
      <rPr>
        <sz val="11"/>
        <color theme="1"/>
        <rFont val="맑은 고딕"/>
        <family val="0"/>
        <charset val="1"/>
      </rPr>
      <t xml:space="preserve">scope:h3:8830e1d83ffffff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맑은 고딕"/>
        <family val="0"/>
        <charset val="1"/>
      </rPr>
      <t xml:space="preserve">?</t>
    </r>
  </si>
  <si>
    <t xml:space="preserve">aug300-395</t>
  </si>
  <si>
    <t xml:space="preserve">396</t>
  </si>
  <si>
    <r>
      <rPr>
        <sz val="11"/>
        <color theme="1"/>
        <rFont val="맑은 고딕"/>
        <family val="0"/>
        <charset val="1"/>
      </rPr>
      <t xml:space="preserve">scope:edge:1742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</si>
  <si>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aug300-396</t>
  </si>
  <si>
    <t xml:space="preserve">397</t>
  </si>
  <si>
    <r>
      <rPr>
        <sz val="11"/>
        <color theme="1"/>
        <rFont val="맑은 고딕"/>
        <family val="0"/>
        <charset val="1"/>
      </rPr>
      <t xml:space="preserve">scope:h3:8830e1d87ffffff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맑은 고딕"/>
        <family val="0"/>
        <charset val="1"/>
      </rPr>
      <t xml:space="preserve">?</t>
    </r>
  </si>
  <si>
    <t xml:space="preserve">aug300-397</t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</si>
  <si>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맑은 고딕"/>
        <family val="0"/>
        <charset val="1"/>
      </rPr>
      <t xml:space="preserve">vendor100 082</t>
    </r>
    <r>
      <rPr>
        <sz val="11"/>
        <color theme="1"/>
        <rFont val="Noto Sans CJK SC"/>
        <family val="2"/>
      </rPr>
      <t xml:space="preserve">와 같음</t>
    </r>
    <r>
      <rPr>
        <sz val="11"/>
        <color theme="1"/>
        <rFont val="맑은 고딕"/>
        <family val="0"/>
        <charset val="1"/>
      </rPr>
      <t xml:space="preserve">; vendor100 082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0.513.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</si>
  <si>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398</t>
  </si>
  <si>
    <r>
      <rPr>
        <sz val="11"/>
        <color theme="1"/>
        <rFont val="맑은 고딕"/>
        <family val="0"/>
        <charset val="1"/>
      </rPr>
      <t xml:space="preserve">scope:district:2617010100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맑은 고딕"/>
        <family val="0"/>
        <charset val="1"/>
      </rPr>
      <t xml:space="preserve">?</t>
    </r>
  </si>
  <si>
    <t xml:space="preserve">aug300-398</t>
  </si>
  <si>
    <r>
      <rPr>
        <sz val="11"/>
        <color theme="1"/>
        <rFont val="맑은 고딕"/>
        <family val="0"/>
        <charset val="1"/>
      </rPr>
      <t xml:space="preserve">vendor100 066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Jaccard 0.524.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D1</t>
    </r>
    <r>
      <rPr>
        <sz val="11"/>
        <color theme="1"/>
        <rFont val="Noto Sans CJK SC"/>
        <family val="2"/>
      </rPr>
      <t xml:space="preserve">에 따라 </t>
    </r>
    <r>
      <rPr>
        <sz val="11"/>
        <color theme="1"/>
        <rFont val="맑은 고딕"/>
        <family val="0"/>
        <charset val="1"/>
      </rPr>
      <t xml:space="preserve">train </t>
    </r>
    <r>
      <rPr>
        <sz val="11"/>
        <color theme="1"/>
        <rFont val="Noto Sans CJK SC"/>
        <family val="2"/>
      </rPr>
      <t xml:space="preserve">복귀 가능</t>
    </r>
    <r>
      <rPr>
        <sz val="11"/>
        <color theme="1"/>
        <rFont val="맑은 고딕"/>
        <family val="0"/>
        <charset val="1"/>
      </rPr>
      <t xml:space="preserve">(holdout</t>
    </r>
    <r>
      <rPr>
        <sz val="11"/>
        <color theme="1"/>
        <rFont val="Noto Sans CJK SC"/>
        <family val="2"/>
      </rPr>
      <t xml:space="preserve">에는 넣지 않음</t>
    </r>
    <r>
      <rPr>
        <sz val="11"/>
        <color theme="1"/>
        <rFont val="맑은 고딕"/>
        <family val="0"/>
        <charset val="1"/>
      </rPr>
      <t xml:space="preserve">)</t>
    </r>
  </si>
  <si>
    <t xml:space="preserve">399</t>
  </si>
  <si>
    <r>
      <rPr>
        <sz val="11"/>
        <color theme="1"/>
        <rFont val="맑은 고딕"/>
        <family val="0"/>
        <charset val="1"/>
      </rPr>
      <t xml:space="preserve">scope:h3:8830e1d81ffffff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맑은 고딕"/>
        <family val="0"/>
        <charset val="1"/>
      </rPr>
      <t xml:space="preserve">.</t>
    </r>
  </si>
  <si>
    <t xml:space="preserve">aug300-399</t>
  </si>
  <si>
    <t xml:space="preserve">400</t>
  </si>
  <si>
    <r>
      <rPr>
        <sz val="11"/>
        <color theme="1"/>
        <rFont val="맑은 고딕"/>
        <family val="0"/>
        <charset val="1"/>
      </rPr>
      <t xml:space="preserve">scope:h3:8830e1d89ffffff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맑은 고딕"/>
        <family val="0"/>
        <charset val="1"/>
      </rPr>
      <t xml:space="preserve">?</t>
    </r>
  </si>
  <si>
    <t xml:space="preserve">aug300-400</t>
  </si>
  <si>
    <t xml:space="preserve">데이터셋 요약</t>
  </si>
  <si>
    <t xml:space="preserve">문항 수</t>
  </si>
  <si>
    <t xml:space="preserve">기존 문항</t>
  </si>
  <si>
    <t xml:space="preserve">추가 증강 문항</t>
  </si>
  <si>
    <t xml:space="preserve">전체 문항</t>
  </si>
  <si>
    <t xml:space="preserve">단순</t>
  </si>
  <si>
    <t xml:space="preserve">중간</t>
  </si>
  <si>
    <t xml:space="preserve">복합</t>
  </si>
  <si>
    <t xml:space="preserve">합계</t>
  </si>
  <si>
    <r>
      <rPr>
        <i val="true"/>
        <sz val="9"/>
        <color rgb="FF595959"/>
        <rFont val="Noto Sans CJK SC"/>
        <family val="2"/>
      </rPr>
      <t xml:space="preserve">※ 표의 값은 증강</t>
    </r>
    <r>
      <rPr>
        <i val="true"/>
        <sz val="9"/>
        <color rgb="FF595959"/>
        <rFont val="맑은 고딕"/>
        <family val="0"/>
        <charset val="1"/>
      </rPr>
      <t xml:space="preserve">_300 </t>
    </r>
    <r>
      <rPr>
        <i val="true"/>
        <sz val="9"/>
        <color rgb="FF595959"/>
        <rFont val="Noto Sans CJK SC"/>
        <family val="2"/>
      </rPr>
      <t xml:space="preserve">시트를 세는 수식</t>
    </r>
    <r>
      <rPr>
        <i val="true"/>
        <sz val="9"/>
        <color rgb="FF595959"/>
        <rFont val="맑은 고딕"/>
        <family val="0"/>
        <charset val="1"/>
      </rPr>
      <t xml:space="preserve">(v2). SCOPE_NAME </t>
    </r>
    <r>
      <rPr>
        <i val="true"/>
        <sz val="9"/>
        <color rgb="FF595959"/>
        <rFont val="Noto Sans CJK SC"/>
        <family val="2"/>
      </rPr>
      <t xml:space="preserve">난이도를 </t>
    </r>
    <r>
      <rPr>
        <i val="true"/>
        <sz val="9"/>
        <color rgb="FF595959"/>
        <rFont val="맑은 고딕"/>
        <family val="0"/>
        <charset val="1"/>
      </rPr>
      <t xml:space="preserve">simple</t>
    </r>
    <r>
      <rPr>
        <i val="true"/>
        <sz val="9"/>
        <color rgb="FF595959"/>
        <rFont val="Noto Sans CJK SC"/>
        <family val="2"/>
      </rPr>
      <t xml:space="preserve">로 바로잡아 단순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중간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복합이 </t>
    </r>
    <r>
      <rPr>
        <i val="true"/>
        <sz val="9"/>
        <color rgb="FF595959"/>
        <rFont val="맑은 고딕"/>
        <family val="0"/>
        <charset val="1"/>
      </rPr>
      <t xml:space="preserve">90/120/90</t>
    </r>
    <r>
      <rPr>
        <i val="true"/>
        <sz val="9"/>
        <color rgb="FF595959"/>
        <rFont val="Noto Sans CJK SC"/>
        <family val="2"/>
      </rPr>
      <t xml:space="preserve">에서 바뀜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</si>
  <si>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사용 상태</t>
    </r>
    <r>
      <rPr>
        <b val="true"/>
        <sz val="11"/>
        <color rgb="FFFFFFFF"/>
        <rFont val="맑은 고딕"/>
        <family val="2"/>
        <charset val="129"/>
      </rPr>
      <t xml:space="preserve">(</t>
    </r>
    <r>
      <rPr>
        <b val="true"/>
        <sz val="11"/>
        <color rgb="FFFFFFFF"/>
        <rFont val="Noto Sans CJK SC"/>
        <family val="2"/>
      </rPr>
      <t xml:space="preserve">제안</t>
    </r>
    <r>
      <rPr>
        <b val="true"/>
        <sz val="11"/>
        <color rgb="FFFFFFFF"/>
        <rFont val="맑은 고딕"/>
        <family val="2"/>
        <charset val="129"/>
      </rPr>
      <t xml:space="preserve">, v2)</t>
    </r>
  </si>
  <si>
    <r>
      <rPr>
        <b val="true"/>
        <sz val="11"/>
        <color rgb="FFFFFFFF"/>
        <rFont val="맑은 고딕"/>
        <family val="2"/>
        <charset val="129"/>
      </rPr>
      <t xml:space="preserve">Semantic Type × </t>
    </r>
    <r>
      <rPr>
        <b val="true"/>
        <sz val="11"/>
        <color rgb="FFFFFFFF"/>
        <rFont val="Noto Sans CJK SC"/>
        <family val="2"/>
      </rPr>
      <t xml:space="preserve">상태</t>
    </r>
  </si>
  <si>
    <r>
      <rPr>
        <b val="true"/>
        <sz val="11"/>
        <color rgb="FFFFFFFF"/>
        <rFont val="Noto Sans CJK SC"/>
        <family val="2"/>
      </rPr>
      <t xml:space="preserve">보류</t>
    </r>
    <r>
      <rPr>
        <b val="true"/>
        <sz val="11"/>
        <color rgb="FFFFFFFF"/>
        <rFont val="맑은 고딕"/>
        <family val="2"/>
        <charset val="129"/>
      </rPr>
      <t xml:space="preserve">_vendor100</t>
    </r>
  </si>
  <si>
    <r>
      <rPr>
        <b val="true"/>
        <sz val="11"/>
        <color rgb="FFFFFFFF"/>
        <rFont val="Noto Sans CJK SC"/>
        <family val="2"/>
      </rPr>
      <t xml:space="preserve">난이도 </t>
    </r>
    <r>
      <rPr>
        <b val="true"/>
        <sz val="11"/>
        <color rgb="FFFFFFFF"/>
        <rFont val="맑은 고딕"/>
        <family val="2"/>
        <charset val="129"/>
      </rPr>
      <t xml:space="preserve">× </t>
    </r>
    <r>
      <rPr>
        <b val="true"/>
        <sz val="11"/>
        <color rgb="FFFFFFFF"/>
        <rFont val="Noto Sans CJK SC"/>
        <family val="2"/>
      </rPr>
      <t xml:space="preserve">상태</t>
    </r>
  </si>
  <si>
    <t xml:space="preserve">risk tag</t>
  </si>
  <si>
    <r>
      <rPr>
        <b val="true"/>
        <sz val="11"/>
        <color rgb="FFFFFFFF"/>
        <rFont val="맑은 고딕"/>
        <family val="2"/>
        <charset val="129"/>
      </rPr>
      <t xml:space="preserve">300 </t>
    </r>
    <r>
      <rPr>
        <b val="true"/>
        <sz val="11"/>
        <color rgb="FFFFFFFF"/>
        <rFont val="Noto Sans CJK SC"/>
        <family val="2"/>
      </rPr>
      <t xml:space="preserve">전체</t>
    </r>
  </si>
  <si>
    <t xml:space="preserve">dt_pickup</t>
  </si>
  <si>
    <t xml:space="preserve">dt_dropoff</t>
  </si>
  <si>
    <t xml:space="preserve">dt_both</t>
  </si>
  <si>
    <t xml:space="preserve">od_both_dt_one</t>
  </si>
  <si>
    <t xml:space="preserve">occupied_passage</t>
  </si>
  <si>
    <t xml:space="preserve">silcha_trip</t>
  </si>
  <si>
    <t xml:space="preserve">status_vacant</t>
  </si>
  <si>
    <t xml:space="preserve">status_stationary</t>
  </si>
  <si>
    <t xml:space="preserve">bucket_week</t>
  </si>
  <si>
    <t xml:space="preserve">bucket_month</t>
  </si>
  <si>
    <t xml:space="preserve">group_by</t>
  </si>
  <si>
    <t xml:space="preserve">ranking</t>
  </si>
  <si>
    <t xml:space="preserve">항목</t>
  </si>
  <si>
    <t xml:space="preserve">내용</t>
  </si>
  <si>
    <t xml:space="preserve">증강 기준</t>
  </si>
  <si>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개 의미 유형 </t>
    </r>
    <r>
      <rPr>
        <sz val="11"/>
        <color theme="1"/>
        <rFont val="맑은 고딕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실행 조건</t>
    </r>
    <r>
      <rPr>
        <sz val="11"/>
        <color theme="1"/>
        <rFont val="맑은 고딕"/>
        <family val="0"/>
        <charset val="1"/>
      </rPr>
      <t xml:space="preserve">(Factor) + </t>
    </r>
    <r>
      <rPr>
        <sz val="11"/>
        <color theme="1"/>
        <rFont val="Noto Sans CJK SC"/>
        <family val="2"/>
      </rPr>
      <t xml:space="preserve">표현 다양화</t>
    </r>
  </si>
  <si>
    <t xml:space="preserve">난이도 비율</t>
  </si>
  <si>
    <r>
      <rPr>
        <sz val="11"/>
        <color theme="1"/>
        <rFont val="Noto Sans CJK SC"/>
        <family val="2"/>
      </rPr>
      <t xml:space="preserve">단순 </t>
    </r>
    <r>
      <rPr>
        <sz val="11"/>
        <color theme="1"/>
        <rFont val="맑은 고딕"/>
        <family val="0"/>
        <charset val="1"/>
      </rPr>
      <t xml:space="preserve">30% / </t>
    </r>
    <r>
      <rPr>
        <sz val="11"/>
        <color theme="1"/>
        <rFont val="Noto Sans CJK SC"/>
        <family val="2"/>
      </rPr>
      <t xml:space="preserve">중간 </t>
    </r>
    <r>
      <rPr>
        <sz val="11"/>
        <color theme="1"/>
        <rFont val="맑은 고딕"/>
        <family val="0"/>
        <charset val="1"/>
      </rPr>
      <t xml:space="preserve">40% / </t>
    </r>
    <r>
      <rPr>
        <sz val="11"/>
        <color theme="1"/>
        <rFont val="Noto Sans CJK SC"/>
        <family val="2"/>
      </rPr>
      <t xml:space="preserve">복합 </t>
    </r>
    <r>
      <rPr>
        <sz val="11"/>
        <color theme="1"/>
        <rFont val="맑은 고딕"/>
        <family val="0"/>
        <charset val="1"/>
      </rPr>
      <t xml:space="preserve">30% (90/120/90) — v2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맑은 고딕"/>
        <family val="0"/>
        <charset val="1"/>
      </rPr>
      <t xml:space="preserve">SCOPE_NAME 30</t>
    </r>
    <r>
      <rPr>
        <sz val="11"/>
        <color theme="1"/>
        <rFont val="Noto Sans CJK SC"/>
        <family val="2"/>
      </rPr>
      <t xml:space="preserve">건을 </t>
    </r>
    <r>
      <rPr>
        <sz val="11"/>
        <color theme="1"/>
        <rFont val="맑은 고딕"/>
        <family val="0"/>
        <charset val="1"/>
      </rPr>
      <t xml:space="preserve">simple</t>
    </r>
    <r>
      <rPr>
        <sz val="11"/>
        <color theme="1"/>
        <rFont val="Noto Sans CJK SC"/>
        <family val="2"/>
      </rPr>
      <t xml:space="preserve">로 바로잡아 </t>
    </r>
    <r>
      <rPr>
        <sz val="11"/>
        <color theme="1"/>
        <rFont val="맑은 고딕"/>
        <family val="0"/>
        <charset val="1"/>
      </rPr>
      <t xml:space="preserve">120/102/78</t>
    </r>
  </si>
  <si>
    <t xml:space="preserve">GitHub branch</t>
  </si>
  <si>
    <t xml:space="preserve">https://github.com/7829hw/assistant_univ/tree/geoflow/partial-grounding</t>
  </si>
  <si>
    <t xml:space="preserve">Query loader</t>
  </si>
  <si>
    <t xml:space="preserve">https://github.com/7829hw/assistant_univ/blob/geoflow/partial-grounding/query_loader.py</t>
  </si>
  <si>
    <t xml:space="preserve">Tool schema</t>
  </si>
  <si>
    <t xml:space="preserve">https://github.com/7829hw/assistant_univ/blob/geoflow/partial-grounding/schemas/tims.yaml</t>
  </si>
  <si>
    <t xml:space="preserve">Gazetteer schema</t>
  </si>
  <si>
    <t xml:space="preserve">https://github.com/7829hw/assistant_univ/blob/geoflow/partial-grounding/schemas/gazetteer.yaml</t>
  </si>
  <si>
    <t xml:space="preserve">Guide source</t>
  </si>
  <si>
    <t xml:space="preserve">DATA_AUGMENTATION_GUIDE(3).md</t>
  </si>
  <si>
    <r>
      <rPr>
        <sz val="11"/>
        <color theme="1"/>
        <rFont val="맑은 고딕"/>
        <family val="0"/>
        <charset val="1"/>
      </rPr>
      <t xml:space="preserve">YAML </t>
    </r>
    <r>
      <rPr>
        <sz val="11"/>
        <color theme="1"/>
        <rFont val="Noto Sans CJK SC"/>
        <family val="2"/>
      </rPr>
      <t xml:space="preserve">출력</t>
    </r>
  </si>
  <si>
    <r>
      <rPr>
        <sz val="11"/>
        <color theme="1"/>
        <rFont val="맑은 고딕"/>
        <family val="0"/>
        <charset val="1"/>
      </rPr>
      <t xml:space="preserve">id/question </t>
    </r>
    <r>
      <rPr>
        <sz val="11"/>
        <color theme="1"/>
        <rFont val="Noto Sans CJK SC"/>
        <family val="2"/>
      </rPr>
      <t xml:space="preserve">최소 계약에 맞춰 별도 파일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종 생성</t>
    </r>
  </si>
  <si>
    <r>
      <rPr>
        <sz val="11"/>
        <color theme="1"/>
        <rFont val="맑은 고딕"/>
        <family val="0"/>
        <charset val="1"/>
      </rPr>
      <t xml:space="preserve">v2 </t>
    </r>
    <r>
      <rPr>
        <sz val="11"/>
        <color theme="1"/>
        <rFont val="Noto Sans CJK SC"/>
        <family val="2"/>
      </rPr>
      <t xml:space="preserve">개정일</t>
    </r>
  </si>
  <si>
    <t xml:space="preserve">2026-10-15</t>
  </si>
  <si>
    <r>
      <rPr>
        <sz val="11"/>
        <color theme="1"/>
        <rFont val="맑은 고딕"/>
        <family val="0"/>
        <charset val="1"/>
      </rPr>
      <t xml:space="preserve">v2 </t>
    </r>
    <r>
      <rPr>
        <sz val="11"/>
        <color theme="1"/>
        <rFont val="Noto Sans CJK SC"/>
        <family val="2"/>
      </rPr>
      <t xml:space="preserve">수정</t>
    </r>
  </si>
  <si>
    <r>
      <rPr>
        <sz val="11"/>
        <color theme="1"/>
        <rFont val="Noto Sans CJK SC"/>
        <family val="2"/>
      </rPr>
      <t xml:space="preserve">질문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맑은 고딕"/>
        <family val="0"/>
        <charset val="1"/>
      </rPr>
      <t xml:space="preserve">(130·305·306) </t>
    </r>
    <r>
      <rPr>
        <sz val="11"/>
        <color theme="1"/>
        <rFont val="Noto Sans CJK SC"/>
        <family val="2"/>
      </rPr>
      <t xml:space="preserve">정답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질문 불일치 수정</t>
    </r>
    <r>
      <rPr>
        <sz val="11"/>
        <color theme="1"/>
        <rFont val="맑은 고딕"/>
        <family val="0"/>
        <charset val="1"/>
      </rPr>
      <t xml:space="preserve">, SCOPE_NAME </t>
    </r>
    <r>
      <rPr>
        <sz val="11"/>
        <color theme="1"/>
        <rFont val="Noto Sans CJK SC"/>
        <family val="2"/>
      </rPr>
      <t xml:space="preserve">난이도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건 수정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수정 셀은 노란색</t>
    </r>
    <r>
      <rPr>
        <sz val="11"/>
        <color theme="1"/>
        <rFont val="맑은 고딕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셀 메모에 수정 전 값</t>
    </r>
  </si>
  <si>
    <r>
      <rPr>
        <sz val="11"/>
        <color theme="1"/>
        <rFont val="맑은 고딕"/>
        <family val="0"/>
        <charset val="1"/>
      </rPr>
      <t xml:space="preserve">v2 </t>
    </r>
    <r>
      <rPr>
        <sz val="11"/>
        <color theme="1"/>
        <rFont val="Noto Sans CJK SC"/>
        <family val="2"/>
      </rPr>
      <t xml:space="preserve">추가 열</t>
    </r>
  </si>
  <si>
    <r>
      <rPr>
        <sz val="11"/>
        <color theme="1"/>
        <rFont val="맑은 고딕"/>
        <family val="0"/>
        <charset val="1"/>
      </rPr>
      <t xml:space="preserve">L–W</t>
    </r>
    <r>
      <rPr>
        <sz val="11"/>
        <color theme="1"/>
        <rFont val="Noto Sans CJK SC"/>
        <family val="2"/>
      </rPr>
      <t xml:space="preserve">열</t>
    </r>
    <r>
      <rPr>
        <sz val="11"/>
        <color theme="1"/>
        <rFont val="맑은 고딕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수정 이력</t>
    </r>
    <r>
      <rPr>
        <sz val="11"/>
        <color theme="1"/>
        <rFont val="맑은 고딕"/>
        <family val="0"/>
        <charset val="1"/>
      </rPr>
      <t xml:space="preserve">, canonical_id(aug300-&lt;ID&gt;), family_id, risk_tags, </t>
    </r>
    <r>
      <rPr>
        <sz val="11"/>
        <color theme="1"/>
        <rFont val="Noto Sans CJK SC"/>
        <family val="2"/>
      </rPr>
      <t xml:space="preserve">보호셋 겹침 지표</t>
    </r>
    <r>
      <rPr>
        <sz val="11"/>
        <color theme="1"/>
        <rFont val="맑은 고딕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사용 상태</t>
    </r>
    <r>
      <rPr>
        <sz val="11"/>
        <color theme="1"/>
        <rFont val="맑은 고딕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제안</t>
    </r>
    <r>
      <rPr>
        <sz val="11"/>
        <color theme="1"/>
        <rFont val="맑은 고딕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상태 사유</t>
    </r>
  </si>
  <si>
    <t xml:space="preserve">보호셋 겹침 기준</t>
  </si>
  <si>
    <r>
      <rPr>
        <sz val="11"/>
        <color theme="1"/>
        <rFont val="맑은 고딕"/>
        <family val="0"/>
        <charset val="1"/>
      </rPr>
      <t xml:space="preserve">vendor100: </t>
    </r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 call </t>
    </r>
    <r>
      <rPr>
        <sz val="11"/>
        <color theme="1"/>
        <rFont val="Noto Sans CJK SC"/>
        <family val="2"/>
      </rPr>
      <t xml:space="preserve">동일</t>
    </r>
    <r>
      <rPr>
        <sz val="11"/>
        <color theme="1"/>
        <rFont val="맑은 고딕"/>
        <family val="0"/>
        <charset val="1"/>
      </rPr>
      <t xml:space="preserve">(binding </t>
    </r>
    <r>
      <rPr>
        <sz val="11"/>
        <color theme="1"/>
        <rFont val="Noto Sans CJK SC"/>
        <family val="2"/>
      </rPr>
      <t xml:space="preserve">이름 정규화</t>
    </r>
    <r>
      <rPr>
        <sz val="11"/>
        <color theme="1"/>
        <rFont val="맑은 고딕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또는 문자 </t>
    </r>
    <r>
      <rPr>
        <sz val="11"/>
        <color theme="1"/>
        <rFont val="맑은 고딕"/>
        <family val="0"/>
        <charset val="1"/>
      </rPr>
      <t xml:space="preserve">3-gram Jaccard ≥ 0.5 → </t>
    </r>
    <r>
      <rPr>
        <sz val="11"/>
        <color theme="1"/>
        <rFont val="Noto Sans CJK SC"/>
        <family val="2"/>
      </rPr>
      <t xml:space="preserve">보류</t>
    </r>
    <r>
      <rPr>
        <sz val="11"/>
        <color theme="1"/>
        <rFont val="맑은 고딕"/>
        <family val="0"/>
        <charset val="1"/>
      </rPr>
      <t xml:space="preserve">_vendor100. selection_v1·selection_v2·valid98·aux_test_v1: Jaccard ≥ 0.5 → </t>
    </r>
    <r>
      <rPr>
        <sz val="11"/>
        <color theme="1"/>
        <rFont val="Noto Sans CJK SC"/>
        <family val="2"/>
      </rPr>
      <t xml:space="preserve">제외</t>
    </r>
    <r>
      <rPr>
        <sz val="11"/>
        <color theme="1"/>
        <rFont val="맑은 고딕"/>
        <family val="0"/>
        <charset val="1"/>
      </rPr>
      <t xml:space="preserve">. template </t>
    </r>
    <r>
      <rPr>
        <sz val="11"/>
        <color theme="1"/>
        <rFont val="Noto Sans CJK SC"/>
        <family val="2"/>
      </rPr>
      <t xml:space="preserve">겹침은 표시만 함</t>
    </r>
  </si>
  <si>
    <r>
      <rPr>
        <sz val="11"/>
        <color theme="1"/>
        <rFont val="맑은 고딕"/>
        <family val="0"/>
        <charset val="1"/>
      </rPr>
      <t xml:space="preserve">family </t>
    </r>
    <r>
      <rPr>
        <sz val="11"/>
        <color theme="1"/>
        <rFont val="Noto Sans CJK SC"/>
        <family val="2"/>
      </rPr>
      <t xml:space="preserve">정의</t>
    </r>
  </si>
  <si>
    <r>
      <rPr>
        <sz val="11"/>
        <color theme="1"/>
        <rFont val="맑은 고딕"/>
        <family val="0"/>
        <charset val="1"/>
      </rPr>
      <t xml:space="preserve">Semantic Type + tool·</t>
    </r>
    <r>
      <rPr>
        <sz val="11"/>
        <color theme="1"/>
        <rFont val="Noto Sans CJK SC"/>
        <family val="2"/>
      </rPr>
      <t xml:space="preserve">인자 키 </t>
    </r>
    <r>
      <rPr>
        <sz val="11"/>
        <color theme="1"/>
        <rFont val="맑은 고딕"/>
        <family val="0"/>
        <charset val="1"/>
      </rPr>
      <t xml:space="preserve">template + </t>
    </r>
    <r>
      <rPr>
        <sz val="11"/>
        <color theme="1"/>
        <rFont val="Noto Sans CJK SC"/>
        <family val="2"/>
      </rPr>
      <t xml:space="preserve">실행 방식</t>
    </r>
    <r>
      <rPr>
        <sz val="11"/>
        <color theme="1"/>
        <rFont val="맑은 고딕"/>
        <family val="0"/>
        <charset val="1"/>
      </rPr>
      <t xml:space="preserve">. SCOPE_NAME</t>
    </r>
    <r>
      <rPr>
        <sz val="11"/>
        <color theme="1"/>
        <rFont val="Noto Sans CJK SC"/>
        <family val="2"/>
      </rPr>
      <t xml:space="preserve">은 </t>
    </r>
    <r>
      <rPr>
        <sz val="11"/>
        <color theme="1"/>
        <rFont val="맑은 고딕"/>
        <family val="0"/>
        <charset val="1"/>
      </rPr>
      <t xml:space="preserve">scope </t>
    </r>
    <r>
      <rPr>
        <sz val="11"/>
        <color theme="1"/>
        <rFont val="Noto Sans CJK SC"/>
        <family val="2"/>
      </rPr>
      <t xml:space="preserve">종류로 나눔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같은 장소의 </t>
    </r>
    <r>
      <rPr>
        <sz val="11"/>
        <color theme="1"/>
        <rFont val="맑은 고딕"/>
        <family val="0"/>
        <charset val="1"/>
      </rPr>
      <t xml:space="preserve">vicinity </t>
    </r>
    <r>
      <rPr>
        <sz val="11"/>
        <color theme="1"/>
        <rFont val="Noto Sans CJK SC"/>
        <family val="2"/>
      </rPr>
      <t xml:space="preserve">유무 대조쌍은 같은 </t>
    </r>
    <r>
      <rPr>
        <sz val="11"/>
        <color theme="1"/>
        <rFont val="맑은 고딕"/>
        <family val="0"/>
        <charset val="1"/>
      </rPr>
      <t xml:space="preserve">family</t>
    </r>
    <r>
      <rPr>
        <sz val="11"/>
        <color theme="1"/>
        <rFont val="Noto Sans CJK SC"/>
        <family val="2"/>
      </rPr>
      <t xml:space="preserve">로 묶음</t>
    </r>
  </si>
  <si>
    <r>
      <rPr>
        <sz val="11"/>
        <color theme="1"/>
        <rFont val="맑은 고딕"/>
        <family val="0"/>
        <charset val="1"/>
      </rPr>
      <t xml:space="preserve">split </t>
    </r>
    <r>
      <rPr>
        <sz val="11"/>
        <color theme="1"/>
        <rFont val="Noto Sans CJK SC"/>
        <family val="2"/>
      </rPr>
      <t xml:space="preserve">방법</t>
    </r>
  </si>
  <si>
    <r>
      <rPr>
        <sz val="11"/>
        <color theme="1"/>
        <rFont val="Noto Sans CJK SC"/>
        <family val="2"/>
      </rPr>
      <t xml:space="preserve">보류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제외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축소를 뺀 </t>
    </r>
    <r>
      <rPr>
        <sz val="11"/>
        <color theme="1"/>
        <rFont val="맑은 고딕"/>
        <family val="0"/>
        <charset val="1"/>
      </rPr>
      <t xml:space="preserve">215</t>
    </r>
    <r>
      <rPr>
        <sz val="11"/>
        <color theme="1"/>
        <rFont val="Noto Sans CJK SC"/>
        <family val="2"/>
      </rPr>
      <t xml:space="preserve">문항을 </t>
    </r>
    <r>
      <rPr>
        <sz val="11"/>
        <color theme="1"/>
        <rFont val="맑은 고딕"/>
        <family val="0"/>
        <charset val="1"/>
      </rPr>
      <t xml:space="preserve">family </t>
    </r>
    <r>
      <rPr>
        <sz val="11"/>
        <color theme="1"/>
        <rFont val="Noto Sans CJK SC"/>
        <family val="2"/>
      </rPr>
      <t xml:space="preserve">단위로 </t>
    </r>
    <r>
      <rPr>
        <sz val="11"/>
        <color theme="1"/>
        <rFont val="맑은 고딕"/>
        <family val="0"/>
        <charset val="1"/>
      </rPr>
      <t xml:space="preserve">train/holdout </t>
    </r>
    <r>
      <rPr>
        <sz val="11"/>
        <color theme="1"/>
        <rFont val="Noto Sans CJK SC"/>
        <family val="2"/>
      </rPr>
      <t xml:space="preserve">분할</t>
    </r>
    <r>
      <rPr>
        <sz val="11"/>
        <color theme="1"/>
        <rFont val="맑은 고딕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목표 </t>
    </r>
    <r>
      <rPr>
        <sz val="11"/>
        <color theme="1"/>
        <rFont val="맑은 고딕"/>
        <family val="0"/>
        <charset val="1"/>
      </rPr>
      <t xml:space="preserve">25%). </t>
    </r>
    <r>
      <rPr>
        <sz val="11"/>
        <color theme="1"/>
        <rFont val="Noto Sans CJK SC"/>
        <family val="2"/>
      </rPr>
      <t xml:space="preserve">유형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난이도</t>
    </r>
    <r>
      <rPr>
        <sz val="11"/>
        <color theme="1"/>
        <rFont val="맑은 고딕"/>
        <family val="0"/>
        <charset val="1"/>
      </rPr>
      <t xml:space="preserve">·hard factor </t>
    </r>
    <r>
      <rPr>
        <sz val="11"/>
        <color theme="1"/>
        <rFont val="Noto Sans CJK SC"/>
        <family val="2"/>
      </rPr>
      <t xml:space="preserve">비율 벌점 최소화 무작위 탐색</t>
    </r>
    <r>
      <rPr>
        <sz val="11"/>
        <color theme="1"/>
        <rFont val="맑은 고딕"/>
        <family val="0"/>
        <charset val="1"/>
      </rPr>
      <t xml:space="preserve">, seed 11216</t>
    </r>
  </si>
  <si>
    <r>
      <rPr>
        <sz val="11"/>
        <color theme="1"/>
        <rFont val="맑은 고딕"/>
        <family val="0"/>
        <charset val="1"/>
      </rPr>
      <t xml:space="preserve">split </t>
    </r>
    <r>
      <rPr>
        <sz val="11"/>
        <color theme="1"/>
        <rFont val="Noto Sans CJK SC"/>
        <family val="2"/>
      </rPr>
      <t xml:space="preserve">상태</t>
    </r>
  </si>
  <si>
    <r>
      <rPr>
        <sz val="11"/>
        <color theme="1"/>
        <rFont val="Noto Sans CJK SC"/>
        <family val="2"/>
      </rPr>
      <t xml:space="preserve">제안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계획서 결정 </t>
    </r>
    <r>
      <rPr>
        <sz val="11"/>
        <color theme="1"/>
        <rFont val="맑은 고딕"/>
        <family val="0"/>
        <charset val="1"/>
      </rPr>
      <t xml:space="preserve">D1–D6 </t>
    </r>
    <r>
      <rPr>
        <sz val="11"/>
        <color theme="1"/>
        <rFont val="Noto Sans CJK SC"/>
        <family val="2"/>
      </rPr>
      <t xml:space="preserve">확정 후</t>
    </r>
    <r>
      <rPr>
        <sz val="11"/>
        <color theme="1"/>
        <rFont val="맑은 고딕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모델 출력을 보기 전에 고정한다</t>
    </r>
    <r>
      <rPr>
        <sz val="11"/>
        <color theme="1"/>
        <rFont val="맑은 고딕"/>
        <family val="0"/>
        <charset val="1"/>
      </rPr>
      <t xml:space="preserve">. D1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맑은 고딕"/>
        <family val="0"/>
        <charset val="1"/>
      </rPr>
      <t xml:space="preserve">vendor100</t>
    </r>
    <r>
      <rPr>
        <sz val="11"/>
        <color theme="1"/>
        <rFont val="Noto Sans CJK SC"/>
        <family val="2"/>
      </rPr>
      <t xml:space="preserve">을 개발 셋으로 내리면 보류</t>
    </r>
    <r>
      <rPr>
        <sz val="11"/>
        <color theme="1"/>
        <rFont val="맑은 고딕"/>
        <family val="0"/>
        <charset val="1"/>
      </rPr>
      <t xml:space="preserve">_vendor100</t>
    </r>
    <r>
      <rPr>
        <sz val="11"/>
        <color theme="1"/>
        <rFont val="Noto Sans CJK SC"/>
        <family val="2"/>
      </rPr>
      <t xml:space="preserve">은 </t>
    </r>
    <r>
      <rPr>
        <sz val="11"/>
        <color theme="1"/>
        <rFont val="맑은 고딕"/>
        <family val="0"/>
        <charset val="1"/>
      </rPr>
      <t xml:space="preserve">train</t>
    </r>
    <r>
      <rPr>
        <sz val="11"/>
        <color theme="1"/>
        <rFont val="Noto Sans CJK SC"/>
        <family val="2"/>
      </rPr>
      <t xml:space="preserve">으로만 복귀하고 </t>
    </r>
    <r>
      <rPr>
        <sz val="11"/>
        <color theme="1"/>
        <rFont val="맑은 고딕"/>
        <family val="0"/>
        <charset val="1"/>
      </rPr>
      <t xml:space="preserve">holdout</t>
    </r>
    <r>
      <rPr>
        <sz val="11"/>
        <color theme="1"/>
        <rFont val="Noto Sans CJK SC"/>
        <family val="2"/>
      </rPr>
      <t xml:space="preserve">은 바꾸지 않는다</t>
    </r>
  </si>
  <si>
    <t xml:space="preserve">검증</t>
  </si>
  <si>
    <r>
      <rPr>
        <sz val="11"/>
        <color theme="1"/>
        <rFont val="Noto Sans CJK SC"/>
        <family val="2"/>
      </rPr>
      <t xml:space="preserve">정답 규칙 검사</t>
    </r>
    <r>
      <rPr>
        <sz val="11"/>
        <color theme="1"/>
        <rFont val="맑은 고딕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시간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택시 유형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상태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순위</t>
    </r>
    <r>
      <rPr>
        <sz val="11"/>
        <color theme="1"/>
        <rFont val="맑은 고딕"/>
        <family val="0"/>
        <charset val="1"/>
      </rPr>
      <t xml:space="preserve">·limit·</t>
    </r>
    <r>
      <rPr>
        <sz val="11"/>
        <color theme="1"/>
        <rFont val="Noto Sans CJK SC"/>
        <family val="2"/>
      </rPr>
      <t xml:space="preserve">집계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묶음 단위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장소명</t>
    </r>
    <r>
      <rPr>
        <sz val="11"/>
        <color theme="1"/>
        <rFont val="맑은 고딕"/>
        <family val="0"/>
        <charset val="1"/>
      </rPr>
      <t xml:space="preserve">·vicinity) 300</t>
    </r>
    <r>
      <rPr>
        <sz val="11"/>
        <color theme="1"/>
        <rFont val="Noto Sans CJK SC"/>
        <family val="2"/>
      </rPr>
      <t xml:space="preserve">건 통과</t>
    </r>
    <r>
      <rPr>
        <sz val="11"/>
        <color theme="1"/>
        <rFont val="맑은 고딕"/>
        <family val="0"/>
        <charset val="1"/>
      </rPr>
      <t xml:space="preserve">(v2 </t>
    </r>
    <r>
      <rPr>
        <sz val="11"/>
        <color theme="1"/>
        <rFont val="Noto Sans CJK SC"/>
        <family val="2"/>
      </rPr>
      <t xml:space="preserve">기준</t>
    </r>
    <r>
      <rPr>
        <sz val="11"/>
        <color theme="1"/>
        <rFont val="맑은 고딕"/>
        <family val="0"/>
        <charset val="1"/>
      </rPr>
      <t xml:space="preserve">)</t>
    </r>
  </si>
  <si>
    <t xml:space="preserve">상태</t>
  </si>
  <si>
    <t xml:space="preserve">vendor100 ID</t>
  </si>
  <si>
    <r>
      <rPr>
        <b val="true"/>
        <sz val="11"/>
        <color rgb="FFFFFFFF"/>
        <rFont val="맑은 고딕"/>
        <family val="2"/>
        <charset val="129"/>
      </rPr>
      <t xml:space="preserve">vendor100 </t>
    </r>
    <r>
      <rPr>
        <b val="true"/>
        <sz val="11"/>
        <color rgb="FFFFFFFF"/>
        <rFont val="Noto Sans CJK SC"/>
        <family val="2"/>
      </rPr>
      <t xml:space="preserve">질문</t>
    </r>
  </si>
  <si>
    <t xml:space="preserve">Jaccard</t>
  </si>
  <si>
    <t xml:space="preserve">동일 정답</t>
  </si>
  <si>
    <t xml:space="preserve">기타 보호셋</t>
  </si>
  <si>
    <t xml:space="preserve">기타 질문</t>
  </si>
  <si>
    <r>
      <rPr>
        <b val="true"/>
        <sz val="11"/>
        <color rgb="FFFFFFFF"/>
        <rFont val="Noto Sans CJK SC"/>
        <family val="2"/>
      </rPr>
      <t xml:space="preserve">기타 </t>
    </r>
    <r>
      <rPr>
        <b val="true"/>
        <sz val="11"/>
        <color rgb="FFFFFFFF"/>
        <rFont val="맑은 고딕"/>
        <family val="2"/>
        <charset val="129"/>
      </rPr>
      <t xml:space="preserve">Jaccard</t>
    </r>
  </si>
  <si>
    <r>
      <rPr>
        <sz val="11"/>
        <color theme="1"/>
        <rFont val="Noto Sans CJK SC"/>
        <family val="2"/>
      </rPr>
      <t xml:space="preserve">지난 주 대구 소속 개인택시의 평균 공차율은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</si>
  <si>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주말 대구 소속 택시의 평균 공차율은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</si>
  <si>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 주 대구에서 승차 건수가 적은 읍면동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</si>
  <si>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 주 대구 중구의 읍면동별 법인택시 통행량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</si>
  <si>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올해 대구 소속 택시의 평균 요금은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</si>
  <si>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 주 대구 신천동의 공차 택시 통행량은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</si>
  <si>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대구 중앙로동의 택시 통행량은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</si>
  <si>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휴일 대구 두류동의 개인 대기영업 택시 통행량은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</si>
  <si>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휴일 대구 달서구의 대기영업 법인택시 통행량은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</si>
  <si>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신천동에서 부산 초량동에 도착한 실차 구간 건수는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</si>
  <si>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이번 주 대구 동인동에서 부산 초량동으로 간 실차 구간 건수는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</si>
  <si>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지난주 대구 소속 택시들의 평균 요금은 얼마인가요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</si>
  <si>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대구 소속 개인택시의 주별 평균 운행 일수의 중간값은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</si>
  <si>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대구 소속 택시의 주별 평균 운행 일수 중 가장 큰 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</si>
  <si>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대구에서 부산으로 이동한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</si>
  <si>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대구에서 부산으로 이동한 읍면동 간 노선 상위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</si>
  <si>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이번 달 </t>
    </r>
    <r>
      <rPr>
        <sz val="11"/>
        <color theme="1"/>
        <rFont val="맑은 고딕"/>
        <family val="0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의 법인 실차 택시 통행량은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</si>
  <si>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scope:district:2726000000 </t>
    </r>
    <r>
      <rPr>
        <sz val="11"/>
        <color theme="1"/>
        <rFont val="Noto Sans CJK SC"/>
        <family val="2"/>
      </rPr>
      <t xml:space="preserve">이 어느 지역인지 이름으로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</si>
  <si>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이번 달 부산에서 하차 건수가 적은 읍면동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</si>
  <si>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대구에서 부산으로 이동한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</si>
  <si>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scope:h3:8830e1d87ffffff</t>
    </r>
    <r>
      <rPr>
        <sz val="11"/>
        <color theme="1"/>
        <rFont val="Noto Sans CJK SC"/>
        <family val="2"/>
      </rPr>
      <t xml:space="preserve">의 최대 </t>
    </r>
    <r>
      <rPr>
        <sz val="11"/>
        <color theme="1"/>
        <rFont val="맑은 고딕"/>
        <family val="0"/>
        <charset val="1"/>
      </rPr>
      <t xml:space="preserve">RPM</t>
    </r>
    <r>
      <rPr>
        <sz val="11"/>
        <color theme="1"/>
        <rFont val="Noto Sans CJK SC"/>
        <family val="2"/>
      </rPr>
      <t xml:space="preserve">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</si>
  <si>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scope:h3:8830e1d8dffffff </t>
    </r>
    <r>
      <rPr>
        <sz val="11"/>
        <color theme="1"/>
        <rFont val="Noto Sans CJK SC"/>
        <family val="2"/>
      </rPr>
      <t xml:space="preserve">구역의 지난달 평균 주행 속도는 얼마였지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</si>
  <si>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서울 소속 개인택시의 평균 요금은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</si>
  <si>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초읍동 어린이대공원 주변의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중간값은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</si>
  <si>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부산 소속 택시의 요금 중간값은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</si>
  <si>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대구 소속 개인택시의 최소 공차율은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</si>
  <si>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소속 택시의 평균 요금은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</si>
  <si>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부산 소속 택시의 평균 수입은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</si>
  <si>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대구 소속 택시의 수입은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</si>
  <si>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이번 달 부산 안에서 이용이 적은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</si>
  <si>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부산 소속 법인택시의 평균 공차율은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</si>
  <si>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대구 중구의 택시 평균 속도는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</si>
  <si>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수성구를 지난 택시들의 평균 속도는 얼마였어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</si>
  <si>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 주 </t>
    </r>
    <r>
      <rPr>
        <sz val="11"/>
        <color theme="1"/>
        <rFont val="맑은 고딕"/>
        <family val="0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의 공차 택시 통행량은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</si>
  <si>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대구 수성구의 읍면동별 실차 택시 통행량 중 가장 많은 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</si>
  <si>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주중 대구의 시군구별 실차 택시 통행량이 가장 많은 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</si>
  <si>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scope:district:2617010100</t>
    </r>
    <r>
      <rPr>
        <sz val="11"/>
        <color theme="1"/>
        <rFont val="Noto Sans CJK SC"/>
        <family val="2"/>
      </rPr>
      <t xml:space="preserve">에 도착한 실차 구간 건수는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</si>
  <si>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scope:district:2723010200</t>
    </r>
    <r>
      <rPr>
        <sz val="11"/>
        <color theme="1"/>
        <rFont val="Noto Sans CJK SC"/>
        <family val="2"/>
      </rPr>
      <t xml:space="preserve">에서 출발해 </t>
    </r>
    <r>
      <rPr>
        <sz val="11"/>
        <color theme="1"/>
        <rFont val="맑은 고딕"/>
        <family val="0"/>
        <charset val="1"/>
      </rPr>
      <t xml:space="preserve">scope:district:2617010100</t>
    </r>
    <r>
      <rPr>
        <sz val="11"/>
        <color theme="1"/>
        <rFont val="Noto Sans CJK SC"/>
        <family val="2"/>
      </rPr>
      <t xml:space="preserve">에 도착한 실차 구간 건수는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</si>
  <si>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scope:district:2723510100</t>
    </r>
    <r>
      <rPr>
        <sz val="11"/>
        <color theme="1"/>
        <rFont val="Noto Sans CJK SC"/>
        <family val="2"/>
      </rPr>
      <t xml:space="preserve">에서 출발한 실차 구간 건수는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</si>
  <si>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집계표에 </t>
    </r>
    <r>
      <rPr>
        <sz val="11"/>
        <color theme="1"/>
        <rFont val="맑은 고딕"/>
        <family val="0"/>
        <charset val="1"/>
      </rPr>
      <t xml:space="preserve">scope:district:2723010100 </t>
    </r>
    <r>
      <rPr>
        <sz val="11"/>
        <color theme="1"/>
        <rFont val="Noto Sans CJK SC"/>
        <family val="2"/>
      </rPr>
      <t xml:space="preserve">이라고 나와 있는데 이게 어느 동이야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</si>
  <si>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 주 개인택시의 평균 운행 일수는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</si>
  <si>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이번 달 대구 소속 택시의 평균 운행 일수는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</si>
  <si>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휴일 인천 소속 개인택시의 공차율 중간값은</t>
    </r>
    <r>
      <rPr>
        <sz val="11"/>
        <color theme="1"/>
        <rFont val="맑은 고딕"/>
        <family val="0"/>
        <charset val="1"/>
      </rPr>
      <t xml:space="preserve">?</t>
    </r>
  </si>
  <si>
    <t xml:space="preserve">지난달 부산 소속 택시의 요금 중간값을 조회해 주십시오</t>
  </si>
  <si>
    <r>
      <rPr>
        <sz val="11"/>
        <color theme="1"/>
        <rFont val="Noto Sans CJK SC"/>
        <family val="2"/>
      </rPr>
      <t xml:space="preserve">이번 달 서울 소속 법인택시의 평균 활성택시 대수는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</si>
  <si>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이번 달 서울 소속 법인택시 하루 수입 평균 좀 알려 줄래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</si>
  <si>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이번 달 부산의 시군구별 법인 실차 택시 통행량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</si>
  <si>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주말 대구의 시군구별 택시 통행량 상위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</si>
  <si>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scope:h3:8830e1d87ffffff</t>
    </r>
    <r>
      <rPr>
        <sz val="11"/>
        <color theme="1"/>
        <rFont val="Noto Sans CJK SC"/>
        <family val="2"/>
      </rPr>
      <t xml:space="preserve">가 가리키는 지역명을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</si>
  <si>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부산 어린이대공원 구간 도로에서 평일에 잰 택시 속도의 중앙값을 알려 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</si>
  <si>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휴일 자정부터 오전 </t>
    </r>
    <r>
      <rPr>
        <sz val="11"/>
        <color theme="1"/>
        <rFont val="맑은 고딕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맑은 고딕"/>
        <family val="0"/>
        <charset val="1"/>
      </rPr>
      <t xml:space="preserve">scope:district:2726000000</t>
    </r>
    <r>
      <rPr>
        <sz val="11"/>
        <color theme="1"/>
        <rFont val="Noto Sans CJK SC"/>
        <family val="2"/>
      </rPr>
      <t xml:space="preserve">의 개인 대기영업 택시 통행량은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</si>
  <si>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scope:district:2726000000 </t>
    </r>
    <r>
      <rPr>
        <sz val="11"/>
        <color theme="1"/>
        <rFont val="Noto Sans CJK SC"/>
        <family val="2"/>
      </rPr>
      <t xml:space="preserve">은 어느 지역이야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</si>
  <si>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주중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수영구의 최소 속도는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</si>
  <si>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지난해 부산 소속 택시의 요금 중간값은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</si>
  <si>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부산에서 대구로 이동한 읍면동 간 </t>
    </r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</si>
  <si>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부산에서 대기영업 중이던 개인택시의 통행량은 몇입니까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</si>
  <si>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부산 소속 법인택시의 총 수입은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</si>
  <si>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대구 소속 법인택시의 총 수입은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</si>
  <si>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대구 달서구 소속 법인택시의 공차율은 평균적으로 어떻게 나와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</si>
  <si>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주중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부산 초읍동의 공차 개인택시 통행량은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</si>
  <si>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주중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대구 태평로동의 평균 </t>
    </r>
    <r>
      <rPr>
        <sz val="11"/>
        <color theme="1"/>
        <rFont val="맑은 고딕"/>
        <family val="0"/>
        <charset val="1"/>
      </rPr>
      <t xml:space="preserve">RPM</t>
    </r>
    <r>
      <rPr>
        <sz val="11"/>
        <color theme="1"/>
        <rFont val="Noto Sans CJK SC"/>
        <family val="2"/>
      </rPr>
      <t xml:space="preserve">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</si>
  <si>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지난해 대구 소속 법인택시의 월별 총 수입 중 가장 큰 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</si>
  <si>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지난해 대구 소속 법인택시의 월별 수입 합계 중 가장 큰 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</si>
  <si>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대구 수성구에서 기록된 최대 </t>
    </r>
    <r>
      <rPr>
        <sz val="11"/>
        <color theme="1"/>
        <rFont val="맑은 고딕"/>
        <family val="0"/>
        <charset val="1"/>
      </rPr>
      <t xml:space="preserve">RPM</t>
    </r>
    <r>
      <rPr>
        <sz val="11"/>
        <color theme="1"/>
        <rFont val="Noto Sans CJK SC"/>
        <family val="2"/>
      </rPr>
      <t xml:space="preserve">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</si>
  <si>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맑은 고딕"/>
        <family val="0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맑은 고딕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일까지 대구 수성구의 </t>
    </r>
    <r>
      <rPr>
        <sz val="11"/>
        <color theme="1"/>
        <rFont val="맑은 고딕"/>
        <family val="0"/>
        <charset val="1"/>
      </rPr>
      <t xml:space="preserve">RPM </t>
    </r>
    <r>
      <rPr>
        <sz val="11"/>
        <color theme="1"/>
        <rFont val="Noto Sans CJK SC"/>
        <family val="2"/>
      </rPr>
      <t xml:space="preserve">최댓값은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</si>
  <si>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시까지 대구 달서구의 평균 속도는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</si>
  <si>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어제 오전 </t>
    </r>
    <r>
      <rPr>
        <sz val="11"/>
        <color theme="1"/>
        <rFont val="맑은 고딕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시 사이 동성로 부근에서 택시가 낸 최고 속도는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</si>
  <si>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부산 광안리 근처의 최대 속도는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</si>
  <si>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대구 택시 하루 평균 수익금이 얼마야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</si>
  <si>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요일별 개인택시 평균 수입을 많은 순서로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개 요일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</si>
  <si>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이번 달 시도별 법인택시 가동률 최솟값을 높은 순서로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 보여줘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</si>
  <si>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대구 수성구에서 출발한 실차 구간 건수는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</si>
  <si>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주말에 대구 수성구 안에서 타고 내린 택시 운행은 모두 몇 건이야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</si>
  <si>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대구 신천동에서 부산 초량동까지의 실차 구간 건수는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</si>
  <si>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주말 부산 초량동으로 들어온 실차 구간 건수는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</si>
  <si>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이번 주 대구 동인동에서 출발한 실차 구간 건수는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</si>
  <si>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이번 주 대구 동인동에서 나간 실차 구간 건수는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</si>
  <si>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부산 초량동에 도착한 실차 구간 건수는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</si>
  <si>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올해 부산 소속 택시의 평균 공차율은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</si>
  <si>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이번 달 대구 소속 택시의 최대 요금은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</si>
  <si>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올해 인천 소속 택시의 최대 요금은</t>
    </r>
    <r>
      <rPr>
        <sz val="11"/>
        <color theme="1"/>
        <rFont val="맑은 고딕"/>
        <family val="0"/>
        <charset val="1"/>
      </rPr>
      <t xml:space="preserve">?</t>
    </r>
  </si>
  <si>
    <t xml:space="preserve">열</t>
  </si>
  <si>
    <t xml:space="preserve">수정 전</t>
  </si>
  <si>
    <t xml:space="preserve">수정 후</t>
  </si>
  <si>
    <t xml:space="preserve">사유</t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</si>
  <si>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부산에 도착한 실차의 하차 건수가 많은 읍면동 상위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</si>
  <si>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질문이 정답</t>
    </r>
    <r>
      <rPr>
        <sz val="11"/>
        <color theme="1"/>
        <rFont val="맑은 고딕"/>
        <family val="0"/>
        <charset val="1"/>
      </rPr>
      <t xml:space="preserve">·Factors(spatial_ref=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맑은 고딕"/>
        <family val="0"/>
        <charset val="1"/>
      </rPr>
      <t xml:space="preserve">|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의 출발 조건을 빠뜨림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정답을 유지하고 질문에 출발지를 복원</t>
    </r>
    <r>
      <rPr>
        <sz val="11"/>
        <color theme="1"/>
        <rFont val="맑은 고딕"/>
        <family val="0"/>
        <charset val="1"/>
      </rPr>
      <t xml:space="preserve">(od_role pickup ≠ dimension_target dropoff </t>
    </r>
    <r>
      <rPr>
        <sz val="11"/>
        <color theme="1"/>
        <rFont val="Noto Sans CJK SC"/>
        <family val="2"/>
      </rPr>
      <t xml:space="preserve">문항이 됨</t>
    </r>
    <r>
      <rPr>
        <sz val="11"/>
        <color theme="1"/>
        <rFont val="맑은 고딕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</si>
  <si>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주중 오전 </t>
    </r>
    <r>
      <rPr>
        <sz val="11"/>
        <color theme="1"/>
        <rFont val="맑은 고딕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맑은 고딕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맑은 고딕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대구에서 승차 건수가 적은 읍면동 하위 </t>
    </r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맑은 고딕"/>
        <family val="0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</si>
  <si>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질문이 정답</t>
    </r>
    <r>
      <rPr>
        <sz val="11"/>
        <color theme="1"/>
        <rFont val="맑은 고딕"/>
        <family val="0"/>
        <charset val="1"/>
      </rPr>
      <t xml:space="preserve">·Factors(spatial_ref=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맑은 고딕"/>
        <family val="0"/>
        <charset val="1"/>
      </rPr>
      <t xml:space="preserve">|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맑은 고딕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의 도착 조건을 빠뜨림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정답을 유지하고 질문에 도착지를 복원</t>
    </r>
    <r>
      <rPr>
        <sz val="11"/>
        <color theme="1"/>
        <rFont val="맑은 고딕"/>
        <family val="0"/>
        <charset val="1"/>
      </rPr>
      <t xml:space="preserve">(od_role dropoff ≠ dimension_target pickup </t>
    </r>
    <r>
      <rPr>
        <sz val="11"/>
        <color theme="1"/>
        <rFont val="Noto Sans CJK SC"/>
        <family val="2"/>
      </rPr>
      <t xml:space="preserve">문항이 됨</t>
    </r>
    <r>
      <rPr>
        <sz val="11"/>
        <color theme="1"/>
        <rFont val="맑은 고딕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</si>
  <si>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이번 달 부산 초량동의 읍면동별 법인택시 통행량을 알려줘</t>
    </r>
    <r>
      <rPr>
        <sz val="11"/>
        <color theme="1"/>
        <rFont val="맑은 고딕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</si>
  <si>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초량동은 읍면동 단위라 </t>
    </r>
    <r>
      <rPr>
        <sz val="11"/>
        <color theme="1"/>
        <rFont val="맑은 고딕"/>
        <family val="0"/>
        <charset val="1"/>
      </rPr>
      <t xml:space="preserve">"</t>
    </r>
    <r>
      <rPr>
        <sz val="11"/>
        <color theme="1"/>
        <rFont val="Noto Sans CJK SC"/>
        <family val="2"/>
      </rPr>
      <t xml:space="preserve">초량동의 읍면동별</t>
    </r>
    <r>
      <rPr>
        <sz val="11"/>
        <color theme="1"/>
        <rFont val="맑은 고딕"/>
        <family val="0"/>
        <charset val="1"/>
      </rPr>
      <t xml:space="preserve">"</t>
    </r>
    <r>
      <rPr>
        <sz val="11"/>
        <color theme="1"/>
        <rFont val="Noto Sans CJK SC"/>
        <family val="2"/>
      </rPr>
      <t xml:space="preserve">은 한 행짜리 퇴화 질문</t>
    </r>
    <r>
      <rPr>
        <sz val="11"/>
        <color theme="1"/>
        <rFont val="맑은 고딕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같은 시의 시군구로 교체</t>
    </r>
  </si>
  <si>
    <r>
      <rPr>
        <sz val="11"/>
        <color theme="1"/>
        <rFont val="Noto Sans CJK SC"/>
        <family val="2"/>
      </rPr>
      <t xml:space="preserve">정답 </t>
    </r>
    <r>
      <rPr>
        <sz val="11"/>
        <color theme="1"/>
        <rFont val="맑은 고딕"/>
        <family val="0"/>
        <charset val="1"/>
      </rPr>
      <t xml:space="preserve">Tool</t>
    </r>
  </si>
  <si>
    <r>
      <rPr>
        <sz val="11"/>
        <color theme="1"/>
        <rFont val="맑은 고딕"/>
        <family val="0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맑은 고딕"/>
        <family val="0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)
get_passage_count(scope=$resolve.scope, date=this_month, taxi_type=corporate, dimension=emd)</t>
    </r>
  </si>
  <si>
    <r>
      <rPr>
        <sz val="11"/>
        <color theme="1"/>
        <rFont val="맑은 고딕"/>
        <family val="0"/>
        <charset val="1"/>
      </rPr>
      <t xml:space="preserve">130 </t>
    </r>
    <r>
      <rPr>
        <sz val="11"/>
        <color theme="1"/>
        <rFont val="Noto Sans CJK SC"/>
        <family val="2"/>
      </rPr>
      <t xml:space="preserve">질문 수정에 맞춤</t>
    </r>
  </si>
  <si>
    <r>
      <rPr>
        <sz val="11"/>
        <color theme="1"/>
        <rFont val="맑은 고딕"/>
        <family val="0"/>
        <charset val="1"/>
      </rPr>
      <t xml:space="preserve">spatial_ref=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맑은 고딕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맑은 고딕"/>
        <family val="0"/>
        <charset val="1"/>
      </rPr>
      <t xml:space="preserve">; space=admin; date=this_month; taxi_type=corporate; group_by=emd</t>
    </r>
  </si>
  <si>
    <r>
      <rPr>
        <sz val="11"/>
        <color theme="1"/>
        <rFont val="맑은 고딕"/>
        <family val="0"/>
        <charset val="1"/>
      </rPr>
      <t xml:space="preserve">SCOPE_NAME</t>
    </r>
    <r>
      <rPr>
        <sz val="11"/>
        <color theme="1"/>
        <rFont val="Noto Sans CJK SC"/>
        <family val="2"/>
      </rPr>
      <t xml:space="preserve">은 모두 </t>
    </r>
    <r>
      <rPr>
        <sz val="11"/>
        <color theme="1"/>
        <rFont val="맑은 고딕"/>
        <family val="0"/>
        <charset val="1"/>
      </rPr>
      <t xml:space="preserve">get_scope_name </t>
    </r>
    <r>
      <rPr>
        <sz val="11"/>
        <color theme="1"/>
        <rFont val="Noto Sans CJK SC"/>
        <family val="2"/>
      </rPr>
      <t xml:space="preserve">한 번 호출로 같은 구조</t>
    </r>
    <r>
      <rPr>
        <sz val="11"/>
        <color theme="1"/>
        <rFont val="맑은 고딕"/>
        <family val="0"/>
        <charset val="1"/>
      </rPr>
      <t xml:space="preserve">. medium·complex </t>
    </r>
    <r>
      <rPr>
        <sz val="11"/>
        <color theme="1"/>
        <rFont val="Noto Sans CJK SC"/>
        <family val="2"/>
      </rPr>
      <t xml:space="preserve">표시는 근거 없음</t>
    </r>
  </si>
  <si>
    <t xml:space="preserve">-</t>
  </si>
  <si>
    <r>
      <rPr>
        <sz val="11"/>
        <color theme="1"/>
        <rFont val="맑은 고딕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시트</t>
    </r>
    <r>
      <rPr>
        <sz val="11"/>
        <color theme="1"/>
        <rFont val="맑은 고딕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</si>
  <si>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틀 고정 </t>
    </r>
    <r>
      <rPr>
        <sz val="11"/>
        <color theme="1"/>
        <rFont val="맑은 고딕"/>
        <family val="0"/>
        <charset val="1"/>
      </rPr>
      <t xml:space="preserve">A66</t>
    </r>
  </si>
  <si>
    <r>
      <rPr>
        <sz val="11"/>
        <color theme="1"/>
        <rFont val="Noto Sans CJK SC"/>
        <family val="2"/>
      </rPr>
      <t xml:space="preserve">틀 고정 </t>
    </r>
    <r>
      <rPr>
        <sz val="11"/>
        <color theme="1"/>
        <rFont val="맑은 고딕"/>
        <family val="0"/>
        <charset val="1"/>
      </rPr>
      <t xml:space="preserve">D2, </t>
    </r>
    <r>
      <rPr>
        <sz val="11"/>
        <color theme="1"/>
        <rFont val="Noto Sans CJK SC"/>
        <family val="2"/>
      </rPr>
      <t xml:space="preserve">자동 필터 추가</t>
    </r>
  </si>
  <si>
    <r>
      <rPr>
        <sz val="11"/>
        <color theme="1"/>
        <rFont val="맑은 고딕"/>
        <family val="0"/>
        <charset val="1"/>
      </rPr>
      <t xml:space="preserve">A66 </t>
    </r>
    <r>
      <rPr>
        <sz val="11"/>
        <color theme="1"/>
        <rFont val="Noto Sans CJK SC"/>
        <family val="2"/>
      </rPr>
      <t xml:space="preserve">고정은 의도와 무관해 보임</t>
    </r>
  </si>
  <si>
    <r>
      <rPr>
        <sz val="11"/>
        <color theme="1"/>
        <rFont val="Noto Sans CJK SC"/>
        <family val="2"/>
      </rPr>
      <t xml:space="preserve">분포</t>
    </r>
    <r>
      <rPr>
        <sz val="11"/>
        <color theme="1"/>
        <rFont val="맑은 고딕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요약</t>
    </r>
  </si>
  <si>
    <t xml:space="preserve">숫자 직접 입력</t>
  </si>
  <si>
    <r>
      <rPr>
        <sz val="11"/>
        <color theme="1"/>
        <rFont val="Noto Sans CJK SC"/>
        <family val="2"/>
      </rPr>
      <t xml:space="preserve">증강</t>
    </r>
    <r>
      <rPr>
        <sz val="11"/>
        <color theme="1"/>
        <rFont val="맑은 고딕"/>
        <family val="0"/>
        <charset val="1"/>
      </rPr>
      <t xml:space="preserve">_300</t>
    </r>
    <r>
      <rPr>
        <sz val="11"/>
        <color theme="1"/>
        <rFont val="Noto Sans CJK SC"/>
        <family val="2"/>
      </rPr>
      <t xml:space="preserve">을 세는 </t>
    </r>
    <r>
      <rPr>
        <sz val="11"/>
        <color theme="1"/>
        <rFont val="맑은 고딕"/>
        <family val="0"/>
        <charset val="1"/>
      </rPr>
      <t xml:space="preserve">COUNTIFS </t>
    </r>
    <r>
      <rPr>
        <sz val="11"/>
        <color theme="1"/>
        <rFont val="Noto Sans CJK SC"/>
        <family val="2"/>
      </rPr>
      <t xml:space="preserve">수식</t>
    </r>
  </si>
  <si>
    <t xml:space="preserve">수정 뒤 값이 자동으로 맞도록</t>
  </si>
  <si>
    <t xml:space="preserve">약점</t>
  </si>
  <si>
    <r>
      <rPr>
        <b val="true"/>
        <sz val="11"/>
        <color rgb="FFFFFFFF"/>
        <rFont val="맑은 고딕"/>
        <family val="2"/>
        <charset val="129"/>
      </rPr>
      <t xml:space="preserve">300</t>
    </r>
    <r>
      <rPr>
        <b val="true"/>
        <sz val="11"/>
        <color rgb="FFFFFFFF"/>
        <rFont val="Noto Sans CJK SC"/>
        <family val="2"/>
      </rPr>
      <t xml:space="preserve">문항 안 현황</t>
    </r>
    <r>
      <rPr>
        <b val="true"/>
        <sz val="11"/>
        <color rgb="FFFFFFFF"/>
        <rFont val="맑은 고딕"/>
        <family val="2"/>
        <charset val="129"/>
      </rPr>
      <t xml:space="preserve">(v2)</t>
    </r>
  </si>
  <si>
    <t xml:space="preserve">왜 필요한가</t>
  </si>
  <si>
    <t xml:space="preserve">채울 곳</t>
  </si>
  <si>
    <r>
      <rPr>
        <sz val="11"/>
        <color theme="1"/>
        <rFont val="맑은 고딕"/>
        <family val="0"/>
        <charset val="1"/>
      </rPr>
      <t xml:space="preserve">"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맑은 고딕"/>
        <family val="0"/>
        <charset val="1"/>
      </rPr>
      <t xml:space="preserve">" </t>
    </r>
    <r>
      <rPr>
        <sz val="11"/>
        <color theme="1"/>
        <rFont val="Noto Sans CJK SC"/>
        <family val="2"/>
      </rPr>
      <t xml:space="preserve">없는 </t>
    </r>
    <r>
      <rPr>
        <sz val="11"/>
        <color theme="1"/>
        <rFont val="맑은 고딕"/>
        <family val="0"/>
        <charset val="1"/>
      </rPr>
      <t xml:space="preserve">occupied </t>
    </r>
    <r>
      <rPr>
        <sz val="11"/>
        <color theme="1"/>
        <rFont val="Noto Sans CJK SC"/>
        <family val="2"/>
      </rPr>
      <t xml:space="preserve">통행량 표현</t>
    </r>
    <r>
      <rPr>
        <sz val="11"/>
        <color theme="1"/>
        <rFont val="맑은 고딕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승객을 태운 택시의 통행량</t>
    </r>
    <r>
      <rPr>
        <sz val="11"/>
        <color theme="1"/>
        <rFont val="맑은 고딕"/>
        <family val="0"/>
        <charset val="1"/>
      </rPr>
      <t xml:space="preserve">)</t>
    </r>
  </si>
  <si>
    <r>
      <rPr>
        <sz val="11"/>
        <color theme="1"/>
        <rFont val="맑은 고딕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맑은 고딕"/>
        <family val="0"/>
        <charset val="1"/>
      </rPr>
      <t xml:space="preserve">. occupied 10</t>
    </r>
    <r>
      <rPr>
        <sz val="11"/>
        <color theme="1"/>
        <rFont val="Noto Sans CJK SC"/>
        <family val="2"/>
      </rPr>
      <t xml:space="preserve">건 모두 </t>
    </r>
    <r>
      <rPr>
        <sz val="11"/>
        <color theme="1"/>
        <rFont val="맑은 고딕"/>
        <family val="0"/>
        <charset val="1"/>
      </rPr>
      <t xml:space="preserve">"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맑은 고딕"/>
        <family val="0"/>
        <charset val="1"/>
      </rPr>
      <t xml:space="preserve">"</t>
    </r>
    <r>
      <rPr>
        <sz val="11"/>
        <color theme="1"/>
        <rFont val="Noto Sans CJK SC"/>
        <family val="2"/>
      </rPr>
      <t xml:space="preserve">라는 단어를 그대로 씀</t>
    </r>
  </si>
  <si>
    <r>
      <rPr>
        <sz val="11"/>
        <color theme="1"/>
        <rFont val="맑은 고딕"/>
        <family val="0"/>
        <charset val="1"/>
      </rPr>
      <t xml:space="preserve">pilot_004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맑은 고딕"/>
        <family val="0"/>
        <charset val="1"/>
      </rPr>
      <t xml:space="preserve">"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맑은 고딕"/>
        <family val="0"/>
        <charset val="1"/>
      </rPr>
      <t xml:space="preserve">" </t>
    </r>
    <r>
      <rPr>
        <sz val="11"/>
        <color theme="1"/>
        <rFont val="Noto Sans CJK SC"/>
        <family val="2"/>
      </rPr>
      <t xml:space="preserve">표현</t>
    </r>
    <r>
      <rPr>
        <sz val="11"/>
        <color theme="1"/>
        <rFont val="맑은 고딕"/>
        <family val="0"/>
        <charset val="1"/>
      </rPr>
      <t xml:space="preserve">(g02·g04)</t>
    </r>
    <r>
      <rPr>
        <sz val="11"/>
        <color theme="1"/>
        <rFont val="Noto Sans CJK SC"/>
        <family val="2"/>
      </rPr>
      <t xml:space="preserve">은 해결됐고 </t>
    </r>
    <r>
      <rPr>
        <sz val="11"/>
        <color theme="1"/>
        <rFont val="맑은 고딕"/>
        <family val="0"/>
        <charset val="1"/>
      </rPr>
      <t xml:space="preserve">n33("</t>
    </r>
    <r>
      <rPr>
        <sz val="11"/>
        <color theme="1"/>
        <rFont val="Noto Sans CJK SC"/>
        <family val="2"/>
      </rPr>
      <t xml:space="preserve">손님을 태운 택시</t>
    </r>
    <r>
      <rPr>
        <sz val="11"/>
        <color theme="1"/>
        <rFont val="맑은 고딕"/>
        <family val="0"/>
        <charset val="1"/>
      </rPr>
      <t xml:space="preserve">") </t>
    </r>
    <r>
      <rPr>
        <sz val="11"/>
        <color theme="1"/>
        <rFont val="Noto Sans CJK SC"/>
        <family val="2"/>
      </rPr>
      <t xml:space="preserve">유형만 남음</t>
    </r>
  </si>
  <si>
    <r>
      <rPr>
        <sz val="11"/>
        <color theme="1"/>
        <rFont val="맑은 고딕"/>
        <family val="0"/>
        <charset val="1"/>
      </rPr>
      <t xml:space="preserve">batch007 </t>
    </r>
    <r>
      <rPr>
        <sz val="11"/>
        <color theme="1"/>
        <rFont val="Noto Sans CJK SC"/>
        <family val="2"/>
      </rPr>
      <t xml:space="preserve">후보 </t>
    </r>
    <r>
      <rPr>
        <sz val="11"/>
        <color theme="1"/>
        <rFont val="맑은 고딕"/>
        <family val="0"/>
        <charset val="1"/>
      </rPr>
      <t xml:space="preserve">27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맑은 고딕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104) </t>
    </r>
    <r>
      <rPr>
        <sz val="11"/>
        <color theme="1"/>
        <rFont val="Noto Sans CJK SC"/>
        <family val="2"/>
      </rPr>
      <t xml:space="preserve">검토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승인</t>
    </r>
  </si>
  <si>
    <r>
      <rPr>
        <sz val="11"/>
        <color theme="1"/>
        <rFont val="맑은 고딕"/>
        <family val="0"/>
        <charset val="1"/>
      </rPr>
      <t xml:space="preserve">implicit endpoint </t>
    </r>
    <r>
      <rPr>
        <sz val="11"/>
        <color theme="1"/>
        <rFont val="Noto Sans CJK SC"/>
        <family val="2"/>
      </rPr>
      <t xml:space="preserve">동사형 </t>
    </r>
    <r>
      <rPr>
        <sz val="11"/>
        <color theme="1"/>
        <rFont val="맑은 고딕"/>
        <family val="0"/>
        <charset val="1"/>
      </rPr>
      <t xml:space="preserve">dimension_target("</t>
    </r>
    <r>
      <rPr>
        <sz val="11"/>
        <color theme="1"/>
        <rFont val="Noto Sans CJK SC"/>
        <family val="2"/>
      </rPr>
      <t xml:space="preserve">태운 곳</t>
    </r>
    <r>
      <rPr>
        <sz val="11"/>
        <color theme="1"/>
        <rFont val="맑은 고딕"/>
        <family val="0"/>
        <charset val="1"/>
      </rPr>
      <t xml:space="preserve">", "</t>
    </r>
    <r>
      <rPr>
        <sz val="11"/>
        <color theme="1"/>
        <rFont val="Noto Sans CJK SC"/>
        <family val="2"/>
      </rPr>
      <t xml:space="preserve">내려준 곳</t>
    </r>
    <r>
      <rPr>
        <sz val="11"/>
        <color theme="1"/>
        <rFont val="맑은 고딕"/>
        <family val="0"/>
        <charset val="1"/>
      </rPr>
      <t xml:space="preserve">" </t>
    </r>
    <r>
      <rPr>
        <sz val="11"/>
        <color theme="1"/>
        <rFont val="Noto Sans CJK SC"/>
        <family val="2"/>
      </rPr>
      <t xml:space="preserve">기준 묶음</t>
    </r>
    <r>
      <rPr>
        <sz val="11"/>
        <color theme="1"/>
        <rFont val="맑은 고딕"/>
        <family val="0"/>
        <charset val="1"/>
      </rPr>
      <t xml:space="preserve">)</t>
    </r>
  </si>
  <si>
    <r>
      <rPr>
        <sz val="11"/>
        <color theme="1"/>
        <rFont val="맑은 고딕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맑은 고딕"/>
        <family val="0"/>
        <charset val="1"/>
      </rPr>
      <t xml:space="preserve">. dt 32</t>
    </r>
    <r>
      <rPr>
        <sz val="11"/>
        <color theme="1"/>
        <rFont val="Noto Sans CJK SC"/>
        <family val="2"/>
      </rPr>
      <t xml:space="preserve">건의 단서는 </t>
    </r>
    <r>
      <rPr>
        <sz val="11"/>
        <color theme="1"/>
        <rFont val="맑은 고딕"/>
        <family val="0"/>
        <charset val="1"/>
      </rPr>
      <t xml:space="preserve">"</t>
    </r>
    <r>
      <rPr>
        <sz val="11"/>
        <color theme="1"/>
        <rFont val="Noto Sans CJK SC"/>
        <family val="2"/>
      </rPr>
      <t xml:space="preserve">승차 건수 </t>
    </r>
    <r>
      <rPr>
        <sz val="11"/>
        <color theme="1"/>
        <rFont val="맑은 고딕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하차 건수 </t>
    </r>
    <r>
      <rPr>
        <sz val="11"/>
        <color theme="1"/>
        <rFont val="맑은 고딕"/>
        <family val="0"/>
        <charset val="1"/>
      </rPr>
      <t xml:space="preserve">/ OD </t>
    </r>
    <r>
      <rPr>
        <sz val="11"/>
        <color theme="1"/>
        <rFont val="Noto Sans CJK SC"/>
        <family val="2"/>
      </rPr>
      <t xml:space="preserve">노선</t>
    </r>
    <r>
      <rPr>
        <sz val="11"/>
        <color theme="1"/>
        <rFont val="맑은 고딕"/>
        <family val="0"/>
        <charset val="1"/>
      </rPr>
      <t xml:space="preserve">"</t>
    </r>
    <r>
      <rPr>
        <sz val="11"/>
        <color theme="1"/>
        <rFont val="Noto Sans CJK SC"/>
        <family val="2"/>
      </rPr>
      <t xml:space="preserve">으로 명시적</t>
    </r>
  </si>
  <si>
    <r>
      <rPr>
        <sz val="11"/>
        <color theme="1"/>
        <rFont val="맑은 고딕"/>
        <family val="0"/>
        <charset val="1"/>
      </rPr>
      <t xml:space="preserve">partial-grounding p0_sft_004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맑은 고딕"/>
        <family val="0"/>
        <charset val="1"/>
      </rPr>
      <t xml:space="preserve">canonical 6</t>
    </r>
    <r>
      <rPr>
        <sz val="11"/>
        <color theme="1"/>
        <rFont val="Noto Sans CJK SC"/>
        <family val="2"/>
      </rPr>
      <t xml:space="preserve">문항 </t>
    </r>
    <r>
      <rPr>
        <sz val="11"/>
        <color theme="1"/>
        <rFont val="맑은 고딕"/>
        <family val="0"/>
        <charset val="1"/>
      </rPr>
      <t xml:space="preserve">0/6, implicit_endpoint_verb </t>
    </r>
    <r>
      <rPr>
        <sz val="11"/>
        <color theme="1"/>
        <rFont val="Noto Sans CJK SC"/>
        <family val="2"/>
      </rPr>
      <t xml:space="preserve">부분집합 개선 없음</t>
    </r>
  </si>
  <si>
    <r>
      <rPr>
        <sz val="11"/>
        <color theme="1"/>
        <rFont val="맑은 고딕"/>
        <family val="0"/>
        <charset val="1"/>
      </rPr>
      <t xml:space="preserve">partial-grounding reviewed_reasoning_v002 </t>
    </r>
    <r>
      <rPr>
        <sz val="11"/>
        <color theme="1"/>
        <rFont val="Noto Sans CJK SC"/>
        <family val="2"/>
      </rPr>
      <t xml:space="preserve">후보</t>
    </r>
    <r>
      <rPr>
        <sz val="11"/>
        <color theme="1"/>
        <rFont val="맑은 고딕"/>
        <family val="0"/>
        <charset val="1"/>
      </rPr>
      <t xml:space="preserve">(Gap A </t>
    </r>
    <r>
      <rPr>
        <sz val="11"/>
        <color theme="1"/>
        <rFont val="Noto Sans CJK SC"/>
        <family val="2"/>
      </rPr>
      <t xml:space="preserve">동사형</t>
    </r>
    <r>
      <rPr>
        <sz val="11"/>
        <color theme="1"/>
        <rFont val="맑은 고딕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같은 </t>
    </r>
    <r>
      <rPr>
        <sz val="11"/>
        <color theme="1"/>
        <rFont val="맑은 고딕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문항 반복 대신 새 문항</t>
    </r>
  </si>
  <si>
    <r>
      <rPr>
        <sz val="11"/>
        <color theme="1"/>
        <rFont val="Noto Sans CJK SC"/>
        <family val="2"/>
      </rPr>
      <t xml:space="preserve">순위 없는 </t>
    </r>
    <r>
      <rPr>
        <sz val="11"/>
        <color theme="1"/>
        <rFont val="맑은 고딕"/>
        <family val="0"/>
        <charset val="1"/>
      </rPr>
      <t xml:space="preserve">dimension_target(</t>
    </r>
    <r>
      <rPr>
        <sz val="11"/>
        <color theme="1"/>
        <rFont val="Noto Sans CJK SC"/>
        <family val="2"/>
      </rPr>
      <t xml:space="preserve">묶음만 하고 </t>
    </r>
    <r>
      <rPr>
        <sz val="11"/>
        <color theme="1"/>
        <rFont val="맑은 고딕"/>
        <family val="0"/>
        <charset val="1"/>
      </rPr>
      <t xml:space="preserve">order </t>
    </r>
    <r>
      <rPr>
        <sz val="11"/>
        <color theme="1"/>
        <rFont val="Noto Sans CJK SC"/>
        <family val="2"/>
      </rPr>
      <t xml:space="preserve">없음</t>
    </r>
    <r>
      <rPr>
        <sz val="11"/>
        <color theme="1"/>
        <rFont val="맑은 고딕"/>
        <family val="0"/>
        <charset val="1"/>
      </rPr>
      <t xml:space="preserve">)</t>
    </r>
  </si>
  <si>
    <r>
      <rPr>
        <sz val="11"/>
        <color theme="1"/>
        <rFont val="맑은 고딕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맑은 고딕"/>
        <family val="0"/>
        <charset val="1"/>
      </rPr>
      <t xml:space="preserve">. dt </t>
    </r>
    <r>
      <rPr>
        <sz val="11"/>
        <color theme="1"/>
        <rFont val="Noto Sans CJK SC"/>
        <family val="2"/>
      </rPr>
      <t xml:space="preserve">문항 </t>
    </r>
    <r>
      <rPr>
        <sz val="11"/>
        <color theme="1"/>
        <rFont val="맑은 고딕"/>
        <family val="0"/>
        <charset val="1"/>
      </rPr>
      <t xml:space="preserve">32</t>
    </r>
    <r>
      <rPr>
        <sz val="11"/>
        <color theme="1"/>
        <rFont val="Noto Sans CJK SC"/>
        <family val="2"/>
      </rPr>
      <t xml:space="preserve">건 모두 </t>
    </r>
    <r>
      <rPr>
        <sz val="11"/>
        <color theme="1"/>
        <rFont val="맑은 고딕"/>
        <family val="0"/>
        <charset val="1"/>
      </rPr>
      <t xml:space="preserve">order</t>
    </r>
    <r>
      <rPr>
        <sz val="11"/>
        <color theme="1"/>
        <rFont val="Noto Sans CJK SC"/>
        <family val="2"/>
      </rPr>
      <t xml:space="preserve">와 함께 나옴</t>
    </r>
  </si>
  <si>
    <r>
      <rPr>
        <sz val="11"/>
        <color theme="1"/>
        <rFont val="맑은 고딕"/>
        <family val="0"/>
        <charset val="1"/>
      </rPr>
      <t xml:space="preserve">"</t>
    </r>
    <r>
      <rPr>
        <sz val="11"/>
        <color theme="1"/>
        <rFont val="Noto Sans CJK SC"/>
        <family val="2"/>
      </rPr>
      <t xml:space="preserve">순위 질문이면 </t>
    </r>
    <r>
      <rPr>
        <sz val="11"/>
        <color theme="1"/>
        <rFont val="맑은 고딕"/>
        <family val="0"/>
        <charset val="1"/>
      </rPr>
      <t xml:space="preserve">dt"</t>
    </r>
    <r>
      <rPr>
        <sz val="11"/>
        <color theme="1"/>
        <rFont val="Noto Sans CJK SC"/>
        <family val="2"/>
      </rPr>
      <t xml:space="preserve">라는 지름길을 끊기 위한 대조</t>
    </r>
  </si>
  <si>
    <r>
      <rPr>
        <sz val="11"/>
        <color theme="1"/>
        <rFont val="Noto Sans CJK SC"/>
        <family val="2"/>
      </rPr>
      <t xml:space="preserve">신규 작성</t>
    </r>
    <r>
      <rPr>
        <sz val="11"/>
        <color theme="1"/>
        <rFont val="맑은 고딕"/>
        <family val="0"/>
        <charset val="1"/>
      </rPr>
      <t xml:space="preserve">(get_trip_count + dimension + dimension_target, order </t>
    </r>
    <r>
      <rPr>
        <sz val="11"/>
        <color theme="1"/>
        <rFont val="Noto Sans CJK SC"/>
        <family val="2"/>
      </rPr>
      <t xml:space="preserve">없음</t>
    </r>
    <r>
      <rPr>
        <sz val="11"/>
        <color theme="1"/>
        <rFont val="맑은 고딕"/>
        <family val="0"/>
        <charset val="1"/>
      </rPr>
      <t xml:space="preserve">)</t>
    </r>
  </si>
  <si>
    <r>
      <rPr>
        <sz val="11"/>
        <color theme="1"/>
        <rFont val="맑은 고딕"/>
        <family val="0"/>
        <charset val="1"/>
      </rPr>
      <t xml:space="preserve">OD </t>
    </r>
    <r>
      <rPr>
        <sz val="11"/>
        <color theme="1"/>
        <rFont val="Noto Sans CJK SC"/>
        <family val="2"/>
      </rPr>
      <t xml:space="preserve">조건과 </t>
    </r>
    <r>
      <rPr>
        <sz val="11"/>
        <color theme="1"/>
        <rFont val="맑은 고딕"/>
        <family val="0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이 다른 문항</t>
    </r>
  </si>
  <si>
    <r>
      <rPr>
        <sz val="11"/>
        <color theme="1"/>
        <rFont val="맑은 고딕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맑은 고딕"/>
        <family val="0"/>
        <charset val="1"/>
      </rPr>
      <t xml:space="preserve">(305·306, v2</t>
    </r>
    <r>
      <rPr>
        <sz val="11"/>
        <color theme="1"/>
        <rFont val="Noto Sans CJK SC"/>
        <family val="2"/>
      </rPr>
      <t xml:space="preserve">에서 질문 복원으로 생김</t>
    </r>
    <r>
      <rPr>
        <sz val="11"/>
        <color theme="1"/>
        <rFont val="맑은 고딕"/>
        <family val="0"/>
        <charset val="1"/>
      </rPr>
      <t xml:space="preserve">)</t>
    </r>
  </si>
  <si>
    <r>
      <rPr>
        <sz val="11"/>
        <color theme="1"/>
        <rFont val="맑은 고딕"/>
        <family val="0"/>
        <charset val="1"/>
      </rPr>
      <t xml:space="preserve">p0_sft_004 od≠dt </t>
    </r>
    <r>
      <rPr>
        <sz val="11"/>
        <color theme="1"/>
        <rFont val="Noto Sans CJK SC"/>
        <family val="2"/>
      </rPr>
      <t xml:space="preserve">부분집합 </t>
    </r>
    <r>
      <rPr>
        <sz val="11"/>
        <color theme="1"/>
        <rFont val="맑은 고딕"/>
        <family val="0"/>
        <charset val="1"/>
      </rPr>
      <t xml:space="preserve">n=35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맑은 고딕"/>
        <family val="0"/>
        <charset val="1"/>
      </rPr>
      <t xml:space="preserve">base 16, JSON-only 7. </t>
    </r>
    <r>
      <rPr>
        <sz val="11"/>
        <color theme="1"/>
        <rFont val="Noto Sans CJK SC"/>
        <family val="2"/>
      </rPr>
      <t xml:space="preserve">가장 약한 경계</t>
    </r>
  </si>
  <si>
    <r>
      <rPr>
        <sz val="11"/>
        <color theme="1"/>
        <rFont val="맑은 고딕"/>
        <family val="0"/>
        <charset val="1"/>
      </rPr>
      <t xml:space="preserve">partial-grounding Gap B </t>
    </r>
    <r>
      <rPr>
        <sz val="11"/>
        <color theme="1"/>
        <rFont val="Noto Sans CJK SC"/>
        <family val="2"/>
      </rPr>
      <t xml:space="preserve">승인분 </t>
    </r>
    <r>
      <rPr>
        <sz val="11"/>
        <color theme="1"/>
        <rFont val="맑은 고딕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신규 작성</t>
    </r>
  </si>
  <si>
    <r>
      <rPr>
        <sz val="11"/>
        <color theme="1"/>
        <rFont val="맑은 고딕"/>
        <family val="0"/>
        <charset val="1"/>
      </rPr>
      <t xml:space="preserve">scope </t>
    </r>
    <r>
      <rPr>
        <sz val="11"/>
        <color theme="1"/>
        <rFont val="Noto Sans CJK SC"/>
        <family val="2"/>
      </rPr>
      <t xml:space="preserve">역조회 결합</t>
    </r>
    <r>
      <rPr>
        <sz val="11"/>
        <color theme="1"/>
        <rFont val="맑은 고딕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집계 결과 </t>
    </r>
    <r>
      <rPr>
        <sz val="11"/>
        <color theme="1"/>
        <rFont val="맑은 고딕"/>
        <family val="0"/>
        <charset val="1"/>
      </rPr>
      <t xml:space="preserve">scope → </t>
    </r>
    <r>
      <rPr>
        <sz val="11"/>
        <color theme="1"/>
        <rFont val="Noto Sans CJK SC"/>
        <family val="2"/>
      </rPr>
      <t xml:space="preserve">이름</t>
    </r>
    <r>
      <rPr>
        <sz val="11"/>
        <color theme="1"/>
        <rFont val="맑은 고딕"/>
        <family val="0"/>
        <charset val="1"/>
      </rPr>
      <t xml:space="preserve">)</t>
    </r>
  </si>
  <si>
    <r>
      <rPr>
        <sz val="11"/>
        <color theme="1"/>
        <rFont val="맑은 고딕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맑은 고딕"/>
        <family val="0"/>
        <charset val="1"/>
      </rPr>
      <t xml:space="preserve">. SCOPE_NAME 42</t>
    </r>
    <r>
      <rPr>
        <sz val="11"/>
        <color theme="1"/>
        <rFont val="Noto Sans CJK SC"/>
        <family val="2"/>
      </rPr>
      <t xml:space="preserve">건은 단일 </t>
    </r>
    <r>
      <rPr>
        <sz val="11"/>
        <color theme="1"/>
        <rFont val="맑은 고딕"/>
        <family val="0"/>
        <charset val="1"/>
      </rPr>
      <t xml:space="preserve">get_scope_name </t>
    </r>
    <r>
      <rPr>
        <sz val="11"/>
        <color theme="1"/>
        <rFont val="Noto Sans CJK SC"/>
        <family val="2"/>
      </rPr>
      <t xml:space="preserve">직접 조회</t>
    </r>
  </si>
  <si>
    <r>
      <rPr>
        <sz val="11"/>
        <color theme="1"/>
        <rFont val="맑은 고딕"/>
        <family val="0"/>
        <charset val="1"/>
      </rPr>
      <t xml:space="preserve">p0_sft_004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맑은 고딕"/>
        <family val="0"/>
        <charset val="1"/>
      </rPr>
      <t xml:space="preserve">scope </t>
    </r>
    <r>
      <rPr>
        <sz val="11"/>
        <color theme="1"/>
        <rFont val="Noto Sans CJK SC"/>
        <family val="2"/>
      </rPr>
      <t xml:space="preserve">역조회 붕괴</t>
    </r>
    <r>
      <rPr>
        <sz val="11"/>
        <color theme="1"/>
        <rFont val="맑은 고딕"/>
        <family val="0"/>
        <charset val="1"/>
      </rPr>
      <t xml:space="preserve">(8/9 → 1/9)</t>
    </r>
    <r>
      <rPr>
        <sz val="11"/>
        <color theme="1"/>
        <rFont val="Noto Sans CJK SC"/>
        <family val="2"/>
      </rPr>
      <t xml:space="preserve">가 </t>
    </r>
    <r>
      <rPr>
        <sz val="11"/>
        <color theme="1"/>
        <rFont val="맑은 고딕"/>
        <family val="0"/>
        <charset val="1"/>
      </rPr>
      <t xml:space="preserve">NO_MEASURE </t>
    </r>
    <r>
      <rPr>
        <sz val="11"/>
        <color theme="1"/>
        <rFont val="Noto Sans CJK SC"/>
        <family val="2"/>
      </rPr>
      <t xml:space="preserve">구조 오류의 원인</t>
    </r>
  </si>
  <si>
    <r>
      <rPr>
        <sz val="11"/>
        <color theme="1"/>
        <rFont val="맑은 고딕"/>
        <family val="0"/>
        <charset val="1"/>
      </rPr>
      <t xml:space="preserve">partial-grounding batch006 Gap C(b006-44–53,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맑은 고딕"/>
        <family val="0"/>
        <charset val="1"/>
      </rPr>
      <t xml:space="preserve">67</t>
    </r>
    <r>
      <rPr>
        <sz val="11"/>
        <color theme="1"/>
        <rFont val="Noto Sans CJK SC"/>
        <family val="2"/>
      </rPr>
      <t xml:space="preserve">로 미승인</t>
    </r>
    <r>
      <rPr>
        <sz val="11"/>
        <color theme="1"/>
        <rFont val="맑은 고딕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재검토</t>
    </r>
  </si>
  <si>
    <r>
      <rPr>
        <sz val="11"/>
        <color theme="1"/>
        <rFont val="맑은 고딕"/>
        <family val="0"/>
        <charset val="1"/>
      </rPr>
      <t xml:space="preserve">value </t>
    </r>
    <r>
      <rPr>
        <sz val="11"/>
        <color theme="1"/>
        <rFont val="Noto Sans CJK SC"/>
        <family val="2"/>
      </rPr>
      <t xml:space="preserve">없는 </t>
    </r>
    <r>
      <rPr>
        <sz val="11"/>
        <color theme="1"/>
        <rFont val="맑은 고딕"/>
        <family val="0"/>
        <charset val="1"/>
      </rPr>
      <t xml:space="preserve">place </t>
    </r>
    <r>
      <rPr>
        <sz val="11"/>
        <color theme="1"/>
        <rFont val="Noto Sans CJK SC"/>
        <family val="2"/>
      </rPr>
      <t xml:space="preserve">대조</t>
    </r>
    <r>
      <rPr>
        <sz val="11"/>
        <color theme="1"/>
        <rFont val="맑은 고딕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지역 묶음어를 </t>
    </r>
    <r>
      <rPr>
        <sz val="11"/>
        <color theme="1"/>
        <rFont val="맑은 고딕"/>
        <family val="0"/>
        <charset val="1"/>
      </rPr>
      <t xml:space="preserve">measure place</t>
    </r>
    <r>
      <rPr>
        <sz val="11"/>
        <color theme="1"/>
        <rFont val="Noto Sans CJK SC"/>
        <family val="2"/>
      </rPr>
      <t xml:space="preserve">로 쓰지 않는 예</t>
    </r>
    <r>
      <rPr>
        <sz val="11"/>
        <color theme="1"/>
        <rFont val="맑은 고딕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</si>
  <si>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명시적 대조 </t>
    </r>
    <r>
      <rPr>
        <sz val="11"/>
        <color theme="1"/>
        <rFont val="맑은 고딕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건</t>
    </r>
  </si>
  <si>
    <r>
      <rPr>
        <sz val="11"/>
        <color theme="1"/>
        <rFont val="맑은 고딕"/>
        <family val="0"/>
        <charset val="1"/>
      </rPr>
      <t xml:space="preserve">p0_sft_004 MULTIPLE_MEASURES 2 → 17. Partial </t>
    </r>
    <r>
      <rPr>
        <sz val="11"/>
        <color theme="1"/>
        <rFont val="Noto Sans CJK SC"/>
        <family val="2"/>
      </rPr>
      <t xml:space="preserve">구조 회귀의 첫째 원인</t>
    </r>
  </si>
  <si>
    <r>
      <rPr>
        <sz val="11"/>
        <color theme="1"/>
        <rFont val="Noto Sans CJK SC"/>
        <family val="2"/>
      </rPr>
      <t xml:space="preserve">신규 작성</t>
    </r>
    <r>
      <rPr>
        <sz val="11"/>
        <color theme="1"/>
        <rFont val="맑은 고딕"/>
        <family val="0"/>
        <charset val="1"/>
      </rPr>
      <t xml:space="preserve">. Partial arm </t>
    </r>
    <r>
      <rPr>
        <sz val="11"/>
        <color theme="1"/>
        <rFont val="Noto Sans CJK SC"/>
        <family val="2"/>
      </rPr>
      <t xml:space="preserve">구조 </t>
    </r>
    <r>
      <rPr>
        <sz val="11"/>
        <color theme="1"/>
        <rFont val="맑은 고딕"/>
        <family val="0"/>
        <charset val="1"/>
      </rPr>
      <t xml:space="preserve">gate</t>
    </r>
    <r>
      <rPr>
        <sz val="11"/>
        <color theme="1"/>
        <rFont val="Noto Sans CJK SC"/>
        <family val="2"/>
      </rPr>
      <t xml:space="preserve">의 진단용으로도 사용</t>
    </r>
  </si>
  <si>
    <r>
      <rPr>
        <sz val="11"/>
        <color theme="1"/>
        <rFont val="맑은 고딕"/>
        <family val="0"/>
        <charset val="1"/>
      </rPr>
      <t xml:space="preserve">SCOPE_NAME </t>
    </r>
    <r>
      <rPr>
        <sz val="11"/>
        <color theme="1"/>
        <rFont val="Noto Sans CJK SC"/>
        <family val="2"/>
      </rPr>
      <t xml:space="preserve">다양성</t>
    </r>
  </si>
  <si>
    <r>
      <rPr>
        <sz val="11"/>
        <color theme="1"/>
        <rFont val="맑은 고딕"/>
        <family val="0"/>
        <charset val="1"/>
      </rPr>
      <t xml:space="preserve">42</t>
    </r>
    <r>
      <rPr>
        <sz val="11"/>
        <color theme="1"/>
        <rFont val="Noto Sans CJK SC"/>
        <family val="2"/>
      </rPr>
      <t xml:space="preserve">건이 표현 </t>
    </r>
    <r>
      <rPr>
        <sz val="11"/>
        <color theme="1"/>
        <rFont val="맑은 고딕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종 </t>
    </r>
    <r>
      <rPr>
        <sz val="11"/>
        <color theme="1"/>
        <rFont val="맑은 고딕"/>
        <family val="0"/>
        <charset val="1"/>
      </rPr>
      <t xml:space="preserve">× scope 14</t>
    </r>
    <r>
      <rPr>
        <sz val="11"/>
        <color theme="1"/>
        <rFont val="Noto Sans CJK SC"/>
        <family val="2"/>
      </rPr>
      <t xml:space="preserve">개의 반복</t>
    </r>
  </si>
  <si>
    <t xml:space="preserve">같은 꼴 반복은 학습 비중만 키움</t>
  </si>
  <si>
    <r>
      <rPr>
        <sz val="11"/>
        <color theme="1"/>
        <rFont val="맑은 고딕"/>
        <family val="0"/>
        <charset val="1"/>
      </rPr>
      <t xml:space="preserve">v2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맑은 고딕"/>
        <family val="0"/>
        <charset val="1"/>
      </rPr>
      <t xml:space="preserve">scope</t>
    </r>
    <r>
      <rPr>
        <sz val="11"/>
        <color theme="1"/>
        <rFont val="Noto Sans CJK SC"/>
        <family val="2"/>
      </rPr>
      <t xml:space="preserve">당 </t>
    </r>
    <r>
      <rPr>
        <sz val="11"/>
        <color theme="1"/>
        <rFont val="맑은 고딕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문항만 남김</t>
    </r>
    <r>
      <rPr>
        <sz val="11"/>
        <color theme="1"/>
        <rFont val="맑은 고딕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축소 </t>
    </r>
    <r>
      <rPr>
        <sz val="11"/>
        <color theme="1"/>
        <rFont val="맑은 고딕"/>
        <family val="0"/>
        <charset val="1"/>
      </rPr>
      <t xml:space="preserve">22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맑은 고딕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역조회 결합 문항으로 대체 권장</t>
    </r>
  </si>
  <si>
    <r>
      <rPr>
        <sz val="11"/>
        <color theme="1"/>
        <rFont val="맑은 고딕"/>
        <family val="0"/>
        <charset val="1"/>
      </rPr>
      <t xml:space="preserve">bucket vs dimension </t>
    </r>
    <r>
      <rPr>
        <sz val="11"/>
        <color theme="1"/>
        <rFont val="Noto Sans CJK SC"/>
        <family val="2"/>
      </rPr>
      <t xml:space="preserve">대조</t>
    </r>
    <r>
      <rPr>
        <sz val="11"/>
        <color theme="1"/>
        <rFont val="맑은 고딕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주별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월별 </t>
    </r>
    <r>
      <rPr>
        <sz val="11"/>
        <color theme="1"/>
        <rFont val="맑은 고딕"/>
        <family val="0"/>
        <charset val="1"/>
      </rPr>
      <t xml:space="preserve">bucket ↔ </t>
    </r>
    <r>
      <rPr>
        <sz val="11"/>
        <color theme="1"/>
        <rFont val="Noto Sans CJK SC"/>
        <family val="2"/>
      </rPr>
      <t xml:space="preserve">요일별 </t>
    </r>
    <r>
      <rPr>
        <sz val="11"/>
        <color theme="1"/>
        <rFont val="맑은 고딕"/>
        <family val="0"/>
        <charset val="1"/>
      </rPr>
      <t xml:space="preserve">dimension)</t>
    </r>
  </si>
  <si>
    <r>
      <rPr>
        <sz val="11"/>
        <color theme="1"/>
        <rFont val="맑은 고딕"/>
        <family val="0"/>
        <charset val="1"/>
      </rPr>
      <t xml:space="preserve">bucket 9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맑은 고딕"/>
        <family val="0"/>
        <charset val="1"/>
      </rPr>
      <t xml:space="preserve">(v2 </t>
    </r>
    <r>
      <rPr>
        <sz val="11"/>
        <color theme="1"/>
        <rFont val="Noto Sans CJK SC"/>
        <family val="2"/>
      </rPr>
      <t xml:space="preserve">사용 가능 </t>
    </r>
    <r>
      <rPr>
        <sz val="11"/>
        <color theme="1"/>
        <rFont val="맑은 고딕"/>
        <family val="0"/>
        <charset val="1"/>
      </rPr>
      <t xml:space="preserve">7), dayofweek dimension </t>
    </r>
    <r>
      <rPr>
        <sz val="11"/>
        <color theme="1"/>
        <rFont val="Noto Sans CJK SC"/>
        <family val="2"/>
      </rPr>
      <t xml:space="preserve">다수</t>
    </r>
  </si>
  <si>
    <r>
      <rPr>
        <sz val="11"/>
        <color theme="1"/>
        <rFont val="맑은 고딕"/>
        <family val="0"/>
        <charset val="1"/>
      </rPr>
      <t xml:space="preserve">Partial P0.2/P0.3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맑은 고딕"/>
        <family val="0"/>
        <charset val="1"/>
      </rPr>
      <t xml:space="preserve">week/month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맑은 고딕"/>
        <family val="0"/>
        <charset val="1"/>
      </rPr>
      <t xml:space="preserve">dimension </t>
    </r>
    <r>
      <rPr>
        <sz val="11"/>
        <color theme="1"/>
        <rFont val="Noto Sans CJK SC"/>
        <family val="2"/>
      </rPr>
      <t xml:space="preserve">혼동 증가</t>
    </r>
  </si>
  <si>
    <r>
      <rPr>
        <sz val="11"/>
        <color theme="1"/>
        <rFont val="Noto Sans CJK SC"/>
        <family val="2"/>
      </rPr>
      <t xml:space="preserve">같은 지표</t>
    </r>
    <r>
      <rPr>
        <sz val="11"/>
        <color theme="1"/>
        <rFont val="맑은 고딕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기간에서 </t>
    </r>
    <r>
      <rPr>
        <sz val="11"/>
        <color theme="1"/>
        <rFont val="맑은 고딕"/>
        <family val="0"/>
        <charset val="1"/>
      </rPr>
      <t xml:space="preserve">bucket/dimension</t>
    </r>
    <r>
      <rPr>
        <sz val="11"/>
        <color theme="1"/>
        <rFont val="Noto Sans CJK SC"/>
        <family val="2"/>
      </rPr>
      <t xml:space="preserve">만 다른 쌍 신규 작성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</si>
</sst>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3">
    <font>
      <sz val="11"/>
      <color theme="1"/>
      <name val="맑은 고딕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맑은 고딕"/>
      <family val="2"/>
    </font>
    <font>
      <b val="true"/>
      <sz val="11"/>
      <color rgb="FFFFFFFF"/>
      <name val="맑은 고딕"/>
      <family val="2"/>
      <charset val="129"/>
    </font>
    <font>
      <sz val="11"/>
      <color theme="1"/>
      <name val="맑은 고딕"/>
      <family val="2"/>
    </font>
    <font>
      <sz val="10"/>
      <name val="맑은 고딕"/>
      <family val="2"/>
    </font>
    <font>
      <sz val="10"/>
      <name val="Arial"/>
      <family val="2"/>
    </font>
    <font>
      <b val="true"/>
      <sz val="11"/>
      <color rgb="FF1F1F1F"/>
      <name val="맑은 고딕"/>
      <family val="2"/>
    </font>
    <font>
      <i val="true"/>
      <sz val="9"/>
      <color rgb="FF595959"/>
      <name val="맑은 고딕"/>
      <family val="2"/>
    </font>
    <font>
      <i val="true"/>
      <sz val="9"/>
      <color rgb="FF595959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EAF7"/>
      </patternFill>
    </fill>
    <fill>
      <patternFill patternType="solid">
        <fgColor rgb="FFF8CBAD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FFD9EAF7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7E6E6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ugmentedQuestions300" displayName="AugmentedQuestions300" ref="A1:K301" headerRowCount="1" totalsRowCount="0" totalsRowShown="0">
  <tableColumns count="11">
    <tableColumn id="1" name="순번"/>
    <tableColumn id="2" name="질문 ID"/>
    <tableColumn id="3" name="질문"/>
    <tableColumn id="4" name="Tool 선택 결과"/>
    <tableColumn id="5" name="판정"/>
    <tableColumn id="6" name="정답 Tool"/>
    <tableColumn id="7" name="비고"/>
    <tableColumn id="8" name="Semantic Type"/>
    <tableColumn id="9" name="난이도"/>
    <tableColumn id="10" name="Factors"/>
    <tableColumn id="11" name="실행 방식"/>
  </tableColumns>
</table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83203125" defaultRowHeight="16.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55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72"/>
    <col collapsed="false" customWidth="true" hidden="false" outlineLevel="0" max="7" min="7" style="1" width="42"/>
    <col collapsed="false" customWidth="true" hidden="false" outlineLevel="0" max="8" min="8" style="1" width="20"/>
    <col collapsed="false" customWidth="true" hidden="false" outlineLevel="0" max="9" min="9" style="1" width="10"/>
    <col collapsed="false" customWidth="true" hidden="false" outlineLevel="0" max="10" min="10" style="1" width="72"/>
    <col collapsed="false" customWidth="true" hidden="false" outlineLevel="0" max="11" min="11" style="1" width="18"/>
    <col collapsed="false" customWidth="true" hidden="false" outlineLevel="0" max="12" min="12" style="1" width="36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5" min="15" style="1" width="40"/>
    <col collapsed="false" customWidth="true" hidden="false" outlineLevel="0" max="16" min="16" style="1" width="12"/>
    <col collapsed="false" customWidth="true" hidden="false" outlineLevel="0" max="17" min="17" style="1" width="11"/>
    <col collapsed="false" customWidth="true" hidden="false" outlineLevel="0" max="19" min="18" style="1" width="12"/>
    <col collapsed="false" customWidth="true" hidden="false" outlineLevel="0" max="20" min="20" style="1" width="22"/>
    <col collapsed="false" customWidth="true" hidden="false" outlineLevel="0" max="21" min="21" style="1" width="11"/>
    <col collapsed="false" customWidth="true" hidden="false" outlineLevel="0" max="22" min="22" style="1" width="14"/>
    <col collapsed="false" customWidth="true" hidden="false" outlineLevel="0" max="23" min="23" style="1" width="60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false" ht="48" hidden="false" customHeight="true" outlineLevel="0" collapsed="false">
      <c r="A2" s="4" t="n">
        <v>101</v>
      </c>
      <c r="B2" s="4" t="s">
        <v>23</v>
      </c>
      <c r="C2" s="5" t="s">
        <v>24</v>
      </c>
      <c r="D2" s="5"/>
      <c r="E2" s="5"/>
      <c r="F2" s="6" t="s">
        <v>25</v>
      </c>
      <c r="G2" s="6" t="s">
        <v>26</v>
      </c>
      <c r="H2" s="7" t="s">
        <v>27</v>
      </c>
      <c r="I2" s="7" t="s">
        <v>28</v>
      </c>
      <c r="J2" s="6" t="s">
        <v>29</v>
      </c>
      <c r="K2" s="6" t="s">
        <v>30</v>
      </c>
      <c r="L2" s="6"/>
      <c r="M2" s="6" t="s">
        <v>31</v>
      </c>
      <c r="N2" s="6" t="s">
        <v>32</v>
      </c>
      <c r="O2" s="6" t="s">
        <v>33</v>
      </c>
      <c r="P2" s="6" t="s">
        <v>34</v>
      </c>
      <c r="Q2" s="8" t="n">
        <v>0.429</v>
      </c>
      <c r="R2" s="6"/>
      <c r="S2" s="6" t="s">
        <v>35</v>
      </c>
      <c r="T2" s="6" t="s">
        <v>36</v>
      </c>
      <c r="U2" s="8" t="n">
        <v>0.467</v>
      </c>
      <c r="V2" s="6" t="s">
        <v>37</v>
      </c>
      <c r="W2" s="6" t="s">
        <v>38</v>
      </c>
    </row>
    <row r="3" customFormat="false" ht="48" hidden="false" customHeight="true" outlineLevel="0" collapsed="false">
      <c r="A3" s="4" t="n">
        <v>102</v>
      </c>
      <c r="B3" s="4" t="s">
        <v>39</v>
      </c>
      <c r="C3" s="5" t="s">
        <v>40</v>
      </c>
      <c r="D3" s="6"/>
      <c r="E3" s="6"/>
      <c r="F3" s="6" t="s">
        <v>41</v>
      </c>
      <c r="G3" s="6" t="s">
        <v>26</v>
      </c>
      <c r="H3" s="7" t="s">
        <v>27</v>
      </c>
      <c r="I3" s="7" t="s">
        <v>28</v>
      </c>
      <c r="J3" s="6" t="s">
        <v>42</v>
      </c>
      <c r="K3" s="6" t="s">
        <v>43</v>
      </c>
      <c r="L3" s="6"/>
      <c r="M3" s="6" t="s">
        <v>44</v>
      </c>
      <c r="N3" s="6" t="s">
        <v>45</v>
      </c>
      <c r="O3" s="6" t="s">
        <v>33</v>
      </c>
      <c r="P3" s="6" t="s">
        <v>34</v>
      </c>
      <c r="Q3" s="8" t="n">
        <v>0.087</v>
      </c>
      <c r="R3" s="6"/>
      <c r="S3" s="6" t="s">
        <v>46</v>
      </c>
      <c r="T3" s="6" t="s">
        <v>47</v>
      </c>
      <c r="U3" s="8" t="n">
        <v>0.24</v>
      </c>
      <c r="V3" s="6" t="s">
        <v>37</v>
      </c>
      <c r="W3" s="6" t="s">
        <v>38</v>
      </c>
    </row>
    <row r="4" customFormat="false" ht="48" hidden="false" customHeight="true" outlineLevel="0" collapsed="false">
      <c r="A4" s="4" t="n">
        <v>103</v>
      </c>
      <c r="B4" s="4" t="s">
        <v>48</v>
      </c>
      <c r="C4" s="6" t="s">
        <v>49</v>
      </c>
      <c r="D4" s="6"/>
      <c r="E4" s="6"/>
      <c r="F4" s="6" t="s">
        <v>50</v>
      </c>
      <c r="G4" s="6" t="s">
        <v>26</v>
      </c>
      <c r="H4" s="7" t="s">
        <v>27</v>
      </c>
      <c r="I4" s="7" t="s">
        <v>28</v>
      </c>
      <c r="J4" s="6" t="s">
        <v>51</v>
      </c>
      <c r="K4" s="6" t="s">
        <v>52</v>
      </c>
      <c r="L4" s="6"/>
      <c r="M4" s="6" t="s">
        <v>53</v>
      </c>
      <c r="N4" s="6" t="s">
        <v>54</v>
      </c>
      <c r="O4" s="6" t="s">
        <v>55</v>
      </c>
      <c r="P4" s="6" t="s">
        <v>56</v>
      </c>
      <c r="Q4" s="8" t="n">
        <v>0.391</v>
      </c>
      <c r="R4" s="6"/>
      <c r="S4" s="6" t="s">
        <v>46</v>
      </c>
      <c r="T4" s="6" t="s">
        <v>57</v>
      </c>
      <c r="U4" s="8" t="n">
        <v>0.302</v>
      </c>
      <c r="V4" s="9" t="s">
        <v>58</v>
      </c>
      <c r="W4" s="6" t="s">
        <v>59</v>
      </c>
    </row>
    <row r="5" customFormat="false" ht="48" hidden="false" customHeight="true" outlineLevel="0" collapsed="false">
      <c r="A5" s="4" t="n">
        <v>104</v>
      </c>
      <c r="B5" s="4" t="s">
        <v>60</v>
      </c>
      <c r="C5" s="5" t="s">
        <v>61</v>
      </c>
      <c r="D5" s="6"/>
      <c r="E5" s="6"/>
      <c r="F5" s="6" t="s">
        <v>62</v>
      </c>
      <c r="G5" s="6" t="s">
        <v>26</v>
      </c>
      <c r="H5" s="7" t="s">
        <v>27</v>
      </c>
      <c r="I5" s="7" t="s">
        <v>28</v>
      </c>
      <c r="J5" s="6" t="s">
        <v>63</v>
      </c>
      <c r="K5" s="6" t="s">
        <v>64</v>
      </c>
      <c r="L5" s="6"/>
      <c r="M5" s="6" t="s">
        <v>65</v>
      </c>
      <c r="N5" s="6" t="s">
        <v>66</v>
      </c>
      <c r="O5" s="6" t="s">
        <v>67</v>
      </c>
      <c r="P5" s="6" t="s">
        <v>68</v>
      </c>
      <c r="Q5" s="8" t="n">
        <v>0.286</v>
      </c>
      <c r="R5" s="6"/>
      <c r="S5" s="6" t="s">
        <v>46</v>
      </c>
      <c r="T5" s="6" t="s">
        <v>69</v>
      </c>
      <c r="U5" s="8" t="n">
        <v>0.25</v>
      </c>
      <c r="V5" s="6" t="s">
        <v>37</v>
      </c>
      <c r="W5" s="6" t="s">
        <v>38</v>
      </c>
    </row>
    <row r="6" customFormat="false" ht="48" hidden="false" customHeight="true" outlineLevel="0" collapsed="false">
      <c r="A6" s="4" t="n">
        <v>105</v>
      </c>
      <c r="B6" s="4" t="s">
        <v>70</v>
      </c>
      <c r="C6" s="5" t="s">
        <v>71</v>
      </c>
      <c r="D6" s="6"/>
      <c r="E6" s="6"/>
      <c r="F6" s="6" t="s">
        <v>72</v>
      </c>
      <c r="G6" s="6" t="s">
        <v>26</v>
      </c>
      <c r="H6" s="7" t="s">
        <v>27</v>
      </c>
      <c r="I6" s="7" t="s">
        <v>28</v>
      </c>
      <c r="J6" s="6" t="s">
        <v>73</v>
      </c>
      <c r="K6" s="6" t="s">
        <v>30</v>
      </c>
      <c r="L6" s="6"/>
      <c r="M6" s="6" t="s">
        <v>74</v>
      </c>
      <c r="N6" s="6" t="s">
        <v>75</v>
      </c>
      <c r="O6" s="6" t="s">
        <v>76</v>
      </c>
      <c r="P6" s="6" t="s">
        <v>77</v>
      </c>
      <c r="Q6" s="8" t="n">
        <v>0.812</v>
      </c>
      <c r="R6" s="6"/>
      <c r="S6" s="6" t="s">
        <v>35</v>
      </c>
      <c r="T6" s="6" t="s">
        <v>36</v>
      </c>
      <c r="U6" s="8" t="n">
        <v>0.25</v>
      </c>
      <c r="V6" s="10" t="s">
        <v>78</v>
      </c>
      <c r="W6" s="6" t="s">
        <v>79</v>
      </c>
    </row>
    <row r="7" customFormat="false" ht="48" hidden="false" customHeight="true" outlineLevel="0" collapsed="false">
      <c r="A7" s="4" t="n">
        <v>106</v>
      </c>
      <c r="B7" s="4" t="s">
        <v>80</v>
      </c>
      <c r="C7" s="5" t="s">
        <v>81</v>
      </c>
      <c r="D7" s="6"/>
      <c r="E7" s="6"/>
      <c r="F7" s="6" t="s">
        <v>82</v>
      </c>
      <c r="G7" s="6" t="s">
        <v>26</v>
      </c>
      <c r="H7" s="7" t="s">
        <v>27</v>
      </c>
      <c r="I7" s="7" t="s">
        <v>28</v>
      </c>
      <c r="J7" s="6" t="s">
        <v>83</v>
      </c>
      <c r="K7" s="6" t="s">
        <v>30</v>
      </c>
      <c r="L7" s="6"/>
      <c r="M7" s="6" t="s">
        <v>84</v>
      </c>
      <c r="N7" s="6" t="s">
        <v>85</v>
      </c>
      <c r="O7" s="6" t="s">
        <v>33</v>
      </c>
      <c r="P7" s="6" t="s">
        <v>86</v>
      </c>
      <c r="Q7" s="8" t="n">
        <v>0.125</v>
      </c>
      <c r="R7" s="6"/>
      <c r="S7" s="6" t="s">
        <v>46</v>
      </c>
      <c r="T7" s="6" t="s">
        <v>87</v>
      </c>
      <c r="U7" s="8" t="n">
        <v>0.119</v>
      </c>
      <c r="V7" s="6" t="s">
        <v>37</v>
      </c>
      <c r="W7" s="6" t="s">
        <v>38</v>
      </c>
    </row>
    <row r="8" customFormat="false" ht="48" hidden="false" customHeight="true" outlineLevel="0" collapsed="false">
      <c r="A8" s="4" t="n">
        <v>107</v>
      </c>
      <c r="B8" s="4" t="s">
        <v>88</v>
      </c>
      <c r="C8" s="5" t="s">
        <v>89</v>
      </c>
      <c r="D8" s="6"/>
      <c r="E8" s="6"/>
      <c r="F8" s="6" t="s">
        <v>90</v>
      </c>
      <c r="G8" s="6" t="s">
        <v>26</v>
      </c>
      <c r="H8" s="7" t="s">
        <v>27</v>
      </c>
      <c r="I8" s="7" t="s">
        <v>28</v>
      </c>
      <c r="J8" s="6" t="s">
        <v>91</v>
      </c>
      <c r="K8" s="6" t="s">
        <v>30</v>
      </c>
      <c r="L8" s="6"/>
      <c r="M8" s="6" t="s">
        <v>92</v>
      </c>
      <c r="N8" s="6" t="s">
        <v>85</v>
      </c>
      <c r="O8" s="6" t="s">
        <v>33</v>
      </c>
      <c r="P8" s="6" t="s">
        <v>93</v>
      </c>
      <c r="Q8" s="8" t="n">
        <v>0.111</v>
      </c>
      <c r="R8" s="6"/>
      <c r="S8" s="6" t="s">
        <v>46</v>
      </c>
      <c r="T8" s="6" t="s">
        <v>69</v>
      </c>
      <c r="U8" s="8" t="n">
        <v>0.105</v>
      </c>
      <c r="V8" s="6" t="s">
        <v>37</v>
      </c>
      <c r="W8" s="6" t="s">
        <v>38</v>
      </c>
    </row>
    <row r="9" customFormat="false" ht="48" hidden="false" customHeight="true" outlineLevel="0" collapsed="false">
      <c r="A9" s="4" t="n">
        <v>108</v>
      </c>
      <c r="B9" s="4" t="s">
        <v>94</v>
      </c>
      <c r="C9" s="5" t="s">
        <v>95</v>
      </c>
      <c r="D9" s="6"/>
      <c r="E9" s="6"/>
      <c r="F9" s="6" t="s">
        <v>96</v>
      </c>
      <c r="G9" s="6" t="s">
        <v>26</v>
      </c>
      <c r="H9" s="7" t="s">
        <v>27</v>
      </c>
      <c r="I9" s="7" t="s">
        <v>28</v>
      </c>
      <c r="J9" s="6" t="s">
        <v>97</v>
      </c>
      <c r="K9" s="6" t="s">
        <v>52</v>
      </c>
      <c r="L9" s="6"/>
      <c r="M9" s="6" t="s">
        <v>98</v>
      </c>
      <c r="N9" s="6" t="s">
        <v>99</v>
      </c>
      <c r="O9" s="6" t="s">
        <v>55</v>
      </c>
      <c r="P9" s="6" t="s">
        <v>100</v>
      </c>
      <c r="Q9" s="8" t="n">
        <v>0.625</v>
      </c>
      <c r="R9" s="6"/>
      <c r="S9" s="6" t="s">
        <v>46</v>
      </c>
      <c r="T9" s="6" t="s">
        <v>101</v>
      </c>
      <c r="U9" s="8" t="n">
        <v>0.396</v>
      </c>
      <c r="V9" s="10" t="s">
        <v>78</v>
      </c>
      <c r="W9" s="6" t="s">
        <v>102</v>
      </c>
    </row>
    <row r="10" customFormat="false" ht="48" hidden="false" customHeight="true" outlineLevel="0" collapsed="false">
      <c r="A10" s="4" t="n">
        <v>109</v>
      </c>
      <c r="B10" s="4" t="s">
        <v>103</v>
      </c>
      <c r="C10" s="5" t="s">
        <v>104</v>
      </c>
      <c r="D10" s="6"/>
      <c r="E10" s="6"/>
      <c r="F10" s="6" t="s">
        <v>105</v>
      </c>
      <c r="G10" s="6" t="s">
        <v>26</v>
      </c>
      <c r="H10" s="7" t="s">
        <v>27</v>
      </c>
      <c r="I10" s="7" t="s">
        <v>28</v>
      </c>
      <c r="J10" s="6" t="s">
        <v>106</v>
      </c>
      <c r="K10" s="6" t="s">
        <v>43</v>
      </c>
      <c r="L10" s="6"/>
      <c r="M10" s="6" t="s">
        <v>107</v>
      </c>
      <c r="N10" s="6" t="s">
        <v>108</v>
      </c>
      <c r="O10" s="6" t="s">
        <v>33</v>
      </c>
      <c r="P10" s="6" t="s">
        <v>34</v>
      </c>
      <c r="Q10" s="8" t="n">
        <v>0.333</v>
      </c>
      <c r="R10" s="6"/>
      <c r="S10" s="6" t="s">
        <v>46</v>
      </c>
      <c r="T10" s="6" t="s">
        <v>36</v>
      </c>
      <c r="U10" s="8" t="n">
        <v>0.3</v>
      </c>
      <c r="V10" s="6" t="s">
        <v>37</v>
      </c>
      <c r="W10" s="6" t="s">
        <v>38</v>
      </c>
    </row>
    <row r="11" customFormat="false" ht="48" hidden="false" customHeight="true" outlineLevel="0" collapsed="false">
      <c r="A11" s="4" t="n">
        <v>110</v>
      </c>
      <c r="B11" s="4" t="s">
        <v>109</v>
      </c>
      <c r="C11" s="5" t="s">
        <v>110</v>
      </c>
      <c r="D11" s="6"/>
      <c r="E11" s="6"/>
      <c r="F11" s="6" t="s">
        <v>111</v>
      </c>
      <c r="G11" s="6" t="s">
        <v>26</v>
      </c>
      <c r="H11" s="7" t="s">
        <v>27</v>
      </c>
      <c r="I11" s="7" t="s">
        <v>28</v>
      </c>
      <c r="J11" s="6" t="s">
        <v>112</v>
      </c>
      <c r="K11" s="6" t="s">
        <v>64</v>
      </c>
      <c r="L11" s="6"/>
      <c r="M11" s="6" t="s">
        <v>113</v>
      </c>
      <c r="N11" s="6" t="s">
        <v>114</v>
      </c>
      <c r="O11" s="6" t="s">
        <v>115</v>
      </c>
      <c r="P11" s="6" t="s">
        <v>116</v>
      </c>
      <c r="Q11" s="8" t="n">
        <v>0.361</v>
      </c>
      <c r="R11" s="6"/>
      <c r="S11" s="6" t="s">
        <v>46</v>
      </c>
      <c r="T11" s="6" t="s">
        <v>117</v>
      </c>
      <c r="U11" s="8" t="n">
        <v>0.104</v>
      </c>
      <c r="V11" s="6" t="s">
        <v>37</v>
      </c>
      <c r="W11" s="6" t="s">
        <v>38</v>
      </c>
    </row>
    <row r="12" customFormat="false" ht="48" hidden="false" customHeight="true" outlineLevel="0" collapsed="false">
      <c r="A12" s="4" t="n">
        <v>111</v>
      </c>
      <c r="B12" s="4" t="s">
        <v>118</v>
      </c>
      <c r="C12" s="5" t="s">
        <v>119</v>
      </c>
      <c r="D12" s="6"/>
      <c r="E12" s="6"/>
      <c r="F12" s="6" t="s">
        <v>120</v>
      </c>
      <c r="G12" s="6" t="s">
        <v>26</v>
      </c>
      <c r="H12" s="7" t="s">
        <v>27</v>
      </c>
      <c r="I12" s="7" t="s">
        <v>28</v>
      </c>
      <c r="J12" s="6" t="s">
        <v>121</v>
      </c>
      <c r="K12" s="6" t="s">
        <v>30</v>
      </c>
      <c r="L12" s="6"/>
      <c r="M12" s="6" t="s">
        <v>122</v>
      </c>
      <c r="N12" s="6" t="s">
        <v>123</v>
      </c>
      <c r="O12" s="6" t="s">
        <v>124</v>
      </c>
      <c r="P12" s="6" t="s">
        <v>93</v>
      </c>
      <c r="Q12" s="8" t="n">
        <v>0.379</v>
      </c>
      <c r="R12" s="6"/>
      <c r="S12" s="6" t="s">
        <v>46</v>
      </c>
      <c r="T12" s="6" t="s">
        <v>69</v>
      </c>
      <c r="U12" s="8" t="n">
        <v>0.235</v>
      </c>
      <c r="V12" s="6" t="s">
        <v>37</v>
      </c>
      <c r="W12" s="6" t="s">
        <v>38</v>
      </c>
    </row>
    <row r="13" customFormat="false" ht="48" hidden="false" customHeight="true" outlineLevel="0" collapsed="false">
      <c r="A13" s="4" t="n">
        <v>112</v>
      </c>
      <c r="B13" s="4" t="s">
        <v>125</v>
      </c>
      <c r="C13" s="6" t="s">
        <v>126</v>
      </c>
      <c r="D13" s="6"/>
      <c r="E13" s="6"/>
      <c r="F13" s="6" t="s">
        <v>127</v>
      </c>
      <c r="G13" s="6" t="s">
        <v>26</v>
      </c>
      <c r="H13" s="7" t="s">
        <v>27</v>
      </c>
      <c r="I13" s="7" t="s">
        <v>28</v>
      </c>
      <c r="J13" s="6" t="s">
        <v>128</v>
      </c>
      <c r="K13" s="6" t="s">
        <v>52</v>
      </c>
      <c r="L13" s="6"/>
      <c r="M13" s="6" t="s">
        <v>129</v>
      </c>
      <c r="N13" s="6" t="s">
        <v>130</v>
      </c>
      <c r="O13" s="6" t="s">
        <v>131</v>
      </c>
      <c r="P13" s="6" t="s">
        <v>132</v>
      </c>
      <c r="Q13" s="8" t="n">
        <v>0.524</v>
      </c>
      <c r="R13" s="6"/>
      <c r="S13" s="6" t="s">
        <v>46</v>
      </c>
      <c r="T13" s="6" t="s">
        <v>101</v>
      </c>
      <c r="U13" s="8" t="n">
        <v>0.36</v>
      </c>
      <c r="V13" s="10" t="s">
        <v>78</v>
      </c>
      <c r="W13" s="6" t="s">
        <v>133</v>
      </c>
    </row>
    <row r="14" customFormat="false" ht="48" hidden="false" customHeight="true" outlineLevel="0" collapsed="false">
      <c r="A14" s="4" t="n">
        <v>113</v>
      </c>
      <c r="B14" s="4" t="s">
        <v>134</v>
      </c>
      <c r="C14" s="5" t="s">
        <v>135</v>
      </c>
      <c r="D14" s="6"/>
      <c r="E14" s="6"/>
      <c r="F14" s="6" t="s">
        <v>136</v>
      </c>
      <c r="G14" s="6" t="s">
        <v>26</v>
      </c>
      <c r="H14" s="7" t="s">
        <v>27</v>
      </c>
      <c r="I14" s="7" t="s">
        <v>28</v>
      </c>
      <c r="J14" s="6" t="s">
        <v>137</v>
      </c>
      <c r="K14" s="6" t="s">
        <v>30</v>
      </c>
      <c r="L14" s="6"/>
      <c r="M14" s="6" t="s">
        <v>138</v>
      </c>
      <c r="N14" s="6" t="s">
        <v>123</v>
      </c>
      <c r="O14" s="6" t="s">
        <v>124</v>
      </c>
      <c r="P14" s="6" t="s">
        <v>93</v>
      </c>
      <c r="Q14" s="8" t="n">
        <v>0.212</v>
      </c>
      <c r="R14" s="6"/>
      <c r="S14" s="6" t="s">
        <v>46</v>
      </c>
      <c r="T14" s="6" t="s">
        <v>69</v>
      </c>
      <c r="U14" s="8" t="n">
        <v>0.235</v>
      </c>
      <c r="V14" s="6" t="s">
        <v>37</v>
      </c>
      <c r="W14" s="6" t="s">
        <v>38</v>
      </c>
    </row>
    <row r="15" customFormat="false" ht="48" hidden="false" customHeight="true" outlineLevel="0" collapsed="false">
      <c r="A15" s="4" t="n">
        <v>114</v>
      </c>
      <c r="B15" s="4" t="s">
        <v>139</v>
      </c>
      <c r="C15" s="5" t="s">
        <v>140</v>
      </c>
      <c r="D15" s="6"/>
      <c r="E15" s="6"/>
      <c r="F15" s="6" t="s">
        <v>141</v>
      </c>
      <c r="G15" s="6" t="s">
        <v>26</v>
      </c>
      <c r="H15" s="7" t="s">
        <v>27</v>
      </c>
      <c r="I15" s="7" t="s">
        <v>142</v>
      </c>
      <c r="J15" s="6" t="s">
        <v>143</v>
      </c>
      <c r="K15" s="6" t="s">
        <v>30</v>
      </c>
      <c r="L15" s="6"/>
      <c r="M15" s="6" t="s">
        <v>144</v>
      </c>
      <c r="N15" s="6" t="s">
        <v>145</v>
      </c>
      <c r="O15" s="6" t="s">
        <v>146</v>
      </c>
      <c r="P15" s="6" t="s">
        <v>147</v>
      </c>
      <c r="Q15" s="8" t="n">
        <v>0.81</v>
      </c>
      <c r="R15" s="6"/>
      <c r="S15" s="6" t="s">
        <v>35</v>
      </c>
      <c r="T15" s="6" t="s">
        <v>148</v>
      </c>
      <c r="U15" s="8" t="n">
        <v>0.226</v>
      </c>
      <c r="V15" s="10" t="s">
        <v>78</v>
      </c>
      <c r="W15" s="6" t="s">
        <v>149</v>
      </c>
    </row>
    <row r="16" customFormat="false" ht="48" hidden="false" customHeight="true" outlineLevel="0" collapsed="false">
      <c r="A16" s="4" t="n">
        <v>115</v>
      </c>
      <c r="B16" s="4" t="s">
        <v>150</v>
      </c>
      <c r="C16" s="5" t="s">
        <v>151</v>
      </c>
      <c r="D16" s="6"/>
      <c r="E16" s="6"/>
      <c r="F16" s="6" t="s">
        <v>152</v>
      </c>
      <c r="G16" s="6" t="s">
        <v>26</v>
      </c>
      <c r="H16" s="7" t="s">
        <v>27</v>
      </c>
      <c r="I16" s="7" t="s">
        <v>142</v>
      </c>
      <c r="J16" s="6" t="s">
        <v>153</v>
      </c>
      <c r="K16" s="6" t="s">
        <v>30</v>
      </c>
      <c r="L16" s="6"/>
      <c r="M16" s="6" t="s">
        <v>154</v>
      </c>
      <c r="N16" s="6" t="s">
        <v>155</v>
      </c>
      <c r="O16" s="6" t="s">
        <v>76</v>
      </c>
      <c r="P16" s="6" t="s">
        <v>156</v>
      </c>
      <c r="Q16" s="8" t="n">
        <v>0.396</v>
      </c>
      <c r="R16" s="6" t="s">
        <v>156</v>
      </c>
      <c r="S16" s="6" t="s">
        <v>35</v>
      </c>
      <c r="T16" s="6" t="s">
        <v>157</v>
      </c>
      <c r="U16" s="8" t="n">
        <v>0.173</v>
      </c>
      <c r="V16" s="10" t="s">
        <v>78</v>
      </c>
      <c r="W16" s="5" t="s">
        <v>158</v>
      </c>
    </row>
    <row r="17" customFormat="false" ht="48" hidden="false" customHeight="true" outlineLevel="0" collapsed="false">
      <c r="A17" s="4" t="n">
        <v>116</v>
      </c>
      <c r="B17" s="4" t="s">
        <v>159</v>
      </c>
      <c r="C17" s="5" t="s">
        <v>160</v>
      </c>
      <c r="D17" s="6"/>
      <c r="E17" s="6"/>
      <c r="F17" s="6" t="s">
        <v>161</v>
      </c>
      <c r="G17" s="6" t="s">
        <v>26</v>
      </c>
      <c r="H17" s="7" t="s">
        <v>27</v>
      </c>
      <c r="I17" s="7" t="s">
        <v>142</v>
      </c>
      <c r="J17" s="6" t="s">
        <v>162</v>
      </c>
      <c r="K17" s="6" t="s">
        <v>43</v>
      </c>
      <c r="L17" s="6"/>
      <c r="M17" s="6" t="s">
        <v>163</v>
      </c>
      <c r="N17" s="6" t="s">
        <v>66</v>
      </c>
      <c r="O17" s="6" t="s">
        <v>164</v>
      </c>
      <c r="P17" s="6" t="s">
        <v>165</v>
      </c>
      <c r="Q17" s="8" t="n">
        <v>0.2</v>
      </c>
      <c r="R17" s="6"/>
      <c r="S17" s="6" t="s">
        <v>35</v>
      </c>
      <c r="T17" s="6" t="s">
        <v>166</v>
      </c>
      <c r="U17" s="8" t="n">
        <v>0.102</v>
      </c>
      <c r="V17" s="6" t="s">
        <v>37</v>
      </c>
      <c r="W17" s="6" t="s">
        <v>38</v>
      </c>
    </row>
    <row r="18" customFormat="false" ht="48" hidden="false" customHeight="true" outlineLevel="0" collapsed="false">
      <c r="A18" s="4" t="n">
        <v>117</v>
      </c>
      <c r="B18" s="4" t="s">
        <v>167</v>
      </c>
      <c r="C18" s="5" t="s">
        <v>168</v>
      </c>
      <c r="D18" s="6"/>
      <c r="E18" s="6"/>
      <c r="F18" s="6" t="s">
        <v>169</v>
      </c>
      <c r="G18" s="6" t="s">
        <v>26</v>
      </c>
      <c r="H18" s="7" t="s">
        <v>27</v>
      </c>
      <c r="I18" s="7" t="s">
        <v>142</v>
      </c>
      <c r="J18" s="6" t="s">
        <v>170</v>
      </c>
      <c r="K18" s="6" t="s">
        <v>52</v>
      </c>
      <c r="L18" s="6"/>
      <c r="M18" s="6" t="s">
        <v>171</v>
      </c>
      <c r="N18" s="6" t="s">
        <v>172</v>
      </c>
      <c r="O18" s="6" t="s">
        <v>173</v>
      </c>
      <c r="P18" s="6" t="s">
        <v>132</v>
      </c>
      <c r="Q18" s="8" t="n">
        <v>0.481</v>
      </c>
      <c r="R18" s="6"/>
      <c r="S18" s="6" t="s">
        <v>46</v>
      </c>
      <c r="T18" s="6" t="s">
        <v>101</v>
      </c>
      <c r="U18" s="8" t="n">
        <v>0.373</v>
      </c>
      <c r="V18" s="6" t="s">
        <v>37</v>
      </c>
      <c r="W18" s="6" t="s">
        <v>38</v>
      </c>
    </row>
    <row r="19" customFormat="false" ht="48" hidden="false" customHeight="true" outlineLevel="0" collapsed="false">
      <c r="A19" s="4" t="n">
        <v>118</v>
      </c>
      <c r="B19" s="4" t="s">
        <v>174</v>
      </c>
      <c r="C19" s="5" t="s">
        <v>175</v>
      </c>
      <c r="D19" s="6"/>
      <c r="E19" s="6"/>
      <c r="F19" s="6" t="s">
        <v>176</v>
      </c>
      <c r="G19" s="6" t="s">
        <v>26</v>
      </c>
      <c r="H19" s="7" t="s">
        <v>27</v>
      </c>
      <c r="I19" s="7" t="s">
        <v>142</v>
      </c>
      <c r="J19" s="6" t="s">
        <v>177</v>
      </c>
      <c r="K19" s="6" t="s">
        <v>64</v>
      </c>
      <c r="L19" s="6"/>
      <c r="M19" s="6" t="s">
        <v>178</v>
      </c>
      <c r="N19" s="6" t="s">
        <v>45</v>
      </c>
      <c r="O19" s="6" t="s">
        <v>67</v>
      </c>
      <c r="P19" s="6" t="s">
        <v>179</v>
      </c>
      <c r="Q19" s="8" t="n">
        <v>0.432</v>
      </c>
      <c r="R19" s="6"/>
      <c r="S19" s="6" t="s">
        <v>46</v>
      </c>
      <c r="T19" s="6" t="s">
        <v>180</v>
      </c>
      <c r="U19" s="8" t="n">
        <v>0.217</v>
      </c>
      <c r="V19" s="6" t="s">
        <v>37</v>
      </c>
      <c r="W19" s="6" t="s">
        <v>38</v>
      </c>
    </row>
    <row r="20" customFormat="false" ht="48" hidden="false" customHeight="true" outlineLevel="0" collapsed="false">
      <c r="A20" s="4" t="n">
        <v>119</v>
      </c>
      <c r="B20" s="4" t="s">
        <v>181</v>
      </c>
      <c r="C20" s="5" t="s">
        <v>182</v>
      </c>
      <c r="D20" s="6"/>
      <c r="E20" s="6"/>
      <c r="F20" s="6" t="s">
        <v>183</v>
      </c>
      <c r="G20" s="6" t="s">
        <v>26</v>
      </c>
      <c r="H20" s="7" t="s">
        <v>27</v>
      </c>
      <c r="I20" s="7" t="s">
        <v>142</v>
      </c>
      <c r="J20" s="6" t="s">
        <v>184</v>
      </c>
      <c r="K20" s="6" t="s">
        <v>64</v>
      </c>
      <c r="L20" s="6"/>
      <c r="M20" s="6" t="s">
        <v>185</v>
      </c>
      <c r="N20" s="6" t="s">
        <v>186</v>
      </c>
      <c r="O20" s="6" t="s">
        <v>115</v>
      </c>
      <c r="P20" s="6" t="s">
        <v>187</v>
      </c>
      <c r="Q20" s="8" t="n">
        <v>0.086</v>
      </c>
      <c r="R20" s="6"/>
      <c r="S20" s="6" t="s">
        <v>35</v>
      </c>
      <c r="T20" s="6" t="s">
        <v>188</v>
      </c>
      <c r="U20" s="8" t="n">
        <v>0.079</v>
      </c>
      <c r="V20" s="6" t="s">
        <v>37</v>
      </c>
      <c r="W20" s="6" t="s">
        <v>38</v>
      </c>
    </row>
    <row r="21" customFormat="false" ht="48" hidden="false" customHeight="true" outlineLevel="0" collapsed="false">
      <c r="A21" s="4" t="n">
        <v>120</v>
      </c>
      <c r="B21" s="4" t="s">
        <v>189</v>
      </c>
      <c r="C21" s="5" t="s">
        <v>190</v>
      </c>
      <c r="D21" s="6"/>
      <c r="E21" s="6"/>
      <c r="F21" s="6" t="s">
        <v>191</v>
      </c>
      <c r="G21" s="6" t="s">
        <v>26</v>
      </c>
      <c r="H21" s="7" t="s">
        <v>27</v>
      </c>
      <c r="I21" s="7" t="s">
        <v>142</v>
      </c>
      <c r="J21" s="6" t="s">
        <v>192</v>
      </c>
      <c r="K21" s="6" t="s">
        <v>30</v>
      </c>
      <c r="L21" s="6"/>
      <c r="M21" s="6" t="s">
        <v>193</v>
      </c>
      <c r="N21" s="6" t="s">
        <v>194</v>
      </c>
      <c r="O21" s="6" t="s">
        <v>195</v>
      </c>
      <c r="P21" s="6" t="s">
        <v>196</v>
      </c>
      <c r="Q21" s="8" t="n">
        <v>0.483</v>
      </c>
      <c r="R21" s="6"/>
      <c r="S21" s="6" t="s">
        <v>46</v>
      </c>
      <c r="T21" s="6" t="s">
        <v>197</v>
      </c>
      <c r="U21" s="8" t="n">
        <v>0.406</v>
      </c>
      <c r="V21" s="6" t="s">
        <v>37</v>
      </c>
      <c r="W21" s="6" t="s">
        <v>38</v>
      </c>
    </row>
    <row r="22" customFormat="false" ht="48" hidden="false" customHeight="true" outlineLevel="0" collapsed="false">
      <c r="A22" s="4" t="n">
        <v>121</v>
      </c>
      <c r="B22" s="4" t="s">
        <v>198</v>
      </c>
      <c r="C22" s="5" t="s">
        <v>199</v>
      </c>
      <c r="D22" s="6"/>
      <c r="E22" s="6"/>
      <c r="F22" s="6" t="s">
        <v>200</v>
      </c>
      <c r="G22" s="6" t="s">
        <v>26</v>
      </c>
      <c r="H22" s="7" t="s">
        <v>27</v>
      </c>
      <c r="I22" s="7" t="s">
        <v>142</v>
      </c>
      <c r="J22" s="6" t="s">
        <v>201</v>
      </c>
      <c r="K22" s="6" t="s">
        <v>30</v>
      </c>
      <c r="L22" s="6"/>
      <c r="M22" s="6" t="s">
        <v>202</v>
      </c>
      <c r="N22" s="6" t="s">
        <v>203</v>
      </c>
      <c r="O22" s="6" t="s">
        <v>124</v>
      </c>
      <c r="P22" s="6" t="s">
        <v>204</v>
      </c>
      <c r="Q22" s="8" t="n">
        <v>0.452</v>
      </c>
      <c r="R22" s="6"/>
      <c r="S22" s="6" t="s">
        <v>46</v>
      </c>
      <c r="T22" s="6" t="s">
        <v>69</v>
      </c>
      <c r="U22" s="8" t="n">
        <v>0.222</v>
      </c>
      <c r="V22" s="9" t="s">
        <v>58</v>
      </c>
      <c r="W22" s="6" t="s">
        <v>59</v>
      </c>
    </row>
    <row r="23" customFormat="false" ht="48" hidden="false" customHeight="true" outlineLevel="0" collapsed="false">
      <c r="A23" s="4" t="n">
        <v>122</v>
      </c>
      <c r="B23" s="4" t="s">
        <v>205</v>
      </c>
      <c r="C23" s="5" t="s">
        <v>206</v>
      </c>
      <c r="D23" s="6"/>
      <c r="E23" s="6"/>
      <c r="F23" s="6" t="s">
        <v>207</v>
      </c>
      <c r="G23" s="6" t="s">
        <v>26</v>
      </c>
      <c r="H23" s="7" t="s">
        <v>27</v>
      </c>
      <c r="I23" s="7" t="s">
        <v>142</v>
      </c>
      <c r="J23" s="6" t="s">
        <v>208</v>
      </c>
      <c r="K23" s="6" t="s">
        <v>30</v>
      </c>
      <c r="L23" s="6"/>
      <c r="M23" s="6" t="s">
        <v>209</v>
      </c>
      <c r="N23" s="6" t="s">
        <v>210</v>
      </c>
      <c r="O23" s="6" t="s">
        <v>124</v>
      </c>
      <c r="P23" s="6" t="s">
        <v>93</v>
      </c>
      <c r="Q23" s="8" t="n">
        <v>0.257</v>
      </c>
      <c r="R23" s="6"/>
      <c r="S23" s="6" t="s">
        <v>46</v>
      </c>
      <c r="T23" s="6" t="s">
        <v>148</v>
      </c>
      <c r="U23" s="8" t="n">
        <v>0.242</v>
      </c>
      <c r="V23" s="6" t="s">
        <v>37</v>
      </c>
      <c r="W23" s="6" t="s">
        <v>38</v>
      </c>
    </row>
    <row r="24" customFormat="false" ht="48" hidden="false" customHeight="true" outlineLevel="0" collapsed="false">
      <c r="A24" s="4" t="n">
        <v>123</v>
      </c>
      <c r="B24" s="4" t="s">
        <v>211</v>
      </c>
      <c r="C24" s="5" t="s">
        <v>212</v>
      </c>
      <c r="D24" s="6"/>
      <c r="E24" s="6"/>
      <c r="F24" s="6" t="s">
        <v>213</v>
      </c>
      <c r="G24" s="6" t="s">
        <v>26</v>
      </c>
      <c r="H24" s="7" t="s">
        <v>27</v>
      </c>
      <c r="I24" s="7" t="s">
        <v>142</v>
      </c>
      <c r="J24" s="6" t="s">
        <v>214</v>
      </c>
      <c r="K24" s="6" t="s">
        <v>52</v>
      </c>
      <c r="L24" s="6"/>
      <c r="M24" s="6" t="s">
        <v>215</v>
      </c>
      <c r="N24" s="6" t="s">
        <v>216</v>
      </c>
      <c r="O24" s="6" t="s">
        <v>217</v>
      </c>
      <c r="P24" s="6" t="s">
        <v>100</v>
      </c>
      <c r="Q24" s="8" t="n">
        <v>0.614</v>
      </c>
      <c r="R24" s="6"/>
      <c r="S24" s="6" t="s">
        <v>46</v>
      </c>
      <c r="T24" s="6" t="s">
        <v>101</v>
      </c>
      <c r="U24" s="8" t="n">
        <v>0.352</v>
      </c>
      <c r="V24" s="10" t="s">
        <v>78</v>
      </c>
      <c r="W24" s="6" t="s">
        <v>218</v>
      </c>
    </row>
    <row r="25" customFormat="false" ht="48" hidden="false" customHeight="true" outlineLevel="0" collapsed="false">
      <c r="A25" s="4" t="n">
        <v>124</v>
      </c>
      <c r="B25" s="4" t="s">
        <v>219</v>
      </c>
      <c r="C25" s="5" t="s">
        <v>220</v>
      </c>
      <c r="D25" s="6"/>
      <c r="E25" s="6"/>
      <c r="F25" s="6" t="s">
        <v>221</v>
      </c>
      <c r="G25" s="6" t="s">
        <v>26</v>
      </c>
      <c r="H25" s="7" t="s">
        <v>27</v>
      </c>
      <c r="I25" s="7" t="s">
        <v>142</v>
      </c>
      <c r="J25" s="6" t="s">
        <v>222</v>
      </c>
      <c r="K25" s="6" t="s">
        <v>30</v>
      </c>
      <c r="L25" s="6"/>
      <c r="M25" s="6" t="s">
        <v>223</v>
      </c>
      <c r="N25" s="6" t="s">
        <v>210</v>
      </c>
      <c r="O25" s="6" t="s">
        <v>124</v>
      </c>
      <c r="P25" s="6" t="s">
        <v>224</v>
      </c>
      <c r="Q25" s="8" t="n">
        <v>0.256</v>
      </c>
      <c r="R25" s="6"/>
      <c r="S25" s="6" t="s">
        <v>46</v>
      </c>
      <c r="T25" s="6" t="s">
        <v>69</v>
      </c>
      <c r="U25" s="8" t="n">
        <v>0.205</v>
      </c>
      <c r="V25" s="6" t="s">
        <v>37</v>
      </c>
      <c r="W25" s="6" t="s">
        <v>38</v>
      </c>
    </row>
    <row r="26" customFormat="false" ht="48" hidden="false" customHeight="true" outlineLevel="0" collapsed="false">
      <c r="A26" s="4" t="n">
        <v>125</v>
      </c>
      <c r="B26" s="4" t="s">
        <v>225</v>
      </c>
      <c r="C26" s="6" t="s">
        <v>226</v>
      </c>
      <c r="D26" s="6"/>
      <c r="E26" s="6"/>
      <c r="F26" s="6" t="s">
        <v>227</v>
      </c>
      <c r="G26" s="6" t="s">
        <v>26</v>
      </c>
      <c r="H26" s="7" t="s">
        <v>27</v>
      </c>
      <c r="I26" s="7" t="s">
        <v>142</v>
      </c>
      <c r="J26" s="6" t="s">
        <v>228</v>
      </c>
      <c r="K26" s="6" t="s">
        <v>30</v>
      </c>
      <c r="L26" s="6"/>
      <c r="M26" s="6" t="s">
        <v>229</v>
      </c>
      <c r="N26" s="6" t="s">
        <v>230</v>
      </c>
      <c r="O26" s="6" t="s">
        <v>164</v>
      </c>
      <c r="P26" s="6" t="s">
        <v>165</v>
      </c>
      <c r="Q26" s="8" t="n">
        <v>0.297</v>
      </c>
      <c r="R26" s="6"/>
      <c r="S26" s="6" t="s">
        <v>46</v>
      </c>
      <c r="T26" s="6" t="s">
        <v>231</v>
      </c>
      <c r="U26" s="8" t="n">
        <v>0.2</v>
      </c>
      <c r="V26" s="6" t="s">
        <v>37</v>
      </c>
      <c r="W26" s="6" t="s">
        <v>38</v>
      </c>
    </row>
    <row r="27" customFormat="false" ht="48" hidden="false" customHeight="true" outlineLevel="0" collapsed="false">
      <c r="A27" s="4" t="n">
        <v>126</v>
      </c>
      <c r="B27" s="4" t="s">
        <v>232</v>
      </c>
      <c r="C27" s="5" t="s">
        <v>233</v>
      </c>
      <c r="D27" s="6"/>
      <c r="E27" s="6"/>
      <c r="F27" s="6" t="s">
        <v>234</v>
      </c>
      <c r="G27" s="6" t="s">
        <v>26</v>
      </c>
      <c r="H27" s="7" t="s">
        <v>27</v>
      </c>
      <c r="I27" s="7" t="s">
        <v>142</v>
      </c>
      <c r="J27" s="6" t="s">
        <v>235</v>
      </c>
      <c r="K27" s="6" t="s">
        <v>30</v>
      </c>
      <c r="L27" s="6"/>
      <c r="M27" s="6" t="s">
        <v>236</v>
      </c>
      <c r="N27" s="6" t="s">
        <v>230</v>
      </c>
      <c r="O27" s="6" t="s">
        <v>76</v>
      </c>
      <c r="P27" s="6" t="s">
        <v>237</v>
      </c>
      <c r="Q27" s="8" t="n">
        <v>0.364</v>
      </c>
      <c r="R27" s="6"/>
      <c r="S27" s="6" t="s">
        <v>46</v>
      </c>
      <c r="T27" s="6" t="s">
        <v>180</v>
      </c>
      <c r="U27" s="8" t="n">
        <v>0.217</v>
      </c>
      <c r="V27" s="6" t="s">
        <v>37</v>
      </c>
      <c r="W27" s="6" t="s">
        <v>38</v>
      </c>
    </row>
    <row r="28" customFormat="false" ht="48" hidden="false" customHeight="true" outlineLevel="0" collapsed="false">
      <c r="A28" s="4" t="n">
        <v>127</v>
      </c>
      <c r="B28" s="4" t="s">
        <v>238</v>
      </c>
      <c r="C28" s="5" t="s">
        <v>239</v>
      </c>
      <c r="D28" s="6"/>
      <c r="E28" s="6"/>
      <c r="F28" s="6" t="s">
        <v>240</v>
      </c>
      <c r="G28" s="6" t="s">
        <v>26</v>
      </c>
      <c r="H28" s="7" t="s">
        <v>27</v>
      </c>
      <c r="I28" s="7" t="s">
        <v>142</v>
      </c>
      <c r="J28" s="6" t="s">
        <v>241</v>
      </c>
      <c r="K28" s="6" t="s">
        <v>52</v>
      </c>
      <c r="L28" s="6"/>
      <c r="M28" s="6" t="s">
        <v>242</v>
      </c>
      <c r="N28" s="6" t="s">
        <v>243</v>
      </c>
      <c r="O28" s="6" t="s">
        <v>55</v>
      </c>
      <c r="P28" s="6" t="s">
        <v>244</v>
      </c>
      <c r="Q28" s="8" t="n">
        <v>0.41</v>
      </c>
      <c r="R28" s="6"/>
      <c r="S28" s="6" t="s">
        <v>46</v>
      </c>
      <c r="T28" s="6" t="s">
        <v>57</v>
      </c>
      <c r="U28" s="8" t="n">
        <v>0.239</v>
      </c>
      <c r="V28" s="6" t="s">
        <v>37</v>
      </c>
      <c r="W28" s="6" t="s">
        <v>38</v>
      </c>
    </row>
    <row r="29" customFormat="false" ht="48" hidden="false" customHeight="true" outlineLevel="0" collapsed="false">
      <c r="A29" s="4" t="n">
        <v>128</v>
      </c>
      <c r="B29" s="4" t="s">
        <v>245</v>
      </c>
      <c r="C29" s="5" t="s">
        <v>246</v>
      </c>
      <c r="D29" s="6"/>
      <c r="E29" s="6"/>
      <c r="F29" s="6" t="s">
        <v>247</v>
      </c>
      <c r="G29" s="6" t="s">
        <v>26</v>
      </c>
      <c r="H29" s="7" t="s">
        <v>27</v>
      </c>
      <c r="I29" s="7" t="s">
        <v>142</v>
      </c>
      <c r="J29" s="6" t="s">
        <v>248</v>
      </c>
      <c r="K29" s="6" t="s">
        <v>64</v>
      </c>
      <c r="L29" s="6"/>
      <c r="M29" s="6" t="s">
        <v>249</v>
      </c>
      <c r="N29" s="6" t="s">
        <v>250</v>
      </c>
      <c r="O29" s="6" t="s">
        <v>115</v>
      </c>
      <c r="P29" s="6" t="s">
        <v>251</v>
      </c>
      <c r="Q29" s="8" t="n">
        <v>0.42</v>
      </c>
      <c r="R29" s="6"/>
      <c r="S29" s="6" t="s">
        <v>46</v>
      </c>
      <c r="T29" s="6" t="s">
        <v>180</v>
      </c>
      <c r="U29" s="8" t="n">
        <v>0.15</v>
      </c>
      <c r="V29" s="9" t="s">
        <v>58</v>
      </c>
      <c r="W29" s="6" t="s">
        <v>59</v>
      </c>
    </row>
    <row r="30" customFormat="false" ht="48" hidden="false" customHeight="true" outlineLevel="0" collapsed="false">
      <c r="A30" s="4" t="n">
        <v>129</v>
      </c>
      <c r="B30" s="4" t="s">
        <v>252</v>
      </c>
      <c r="C30" s="5" t="s">
        <v>253</v>
      </c>
      <c r="D30" s="6"/>
      <c r="E30" s="6"/>
      <c r="F30" s="6" t="s">
        <v>254</v>
      </c>
      <c r="G30" s="6" t="s">
        <v>26</v>
      </c>
      <c r="H30" s="7" t="s">
        <v>27</v>
      </c>
      <c r="I30" s="7" t="s">
        <v>142</v>
      </c>
      <c r="J30" s="6" t="s">
        <v>255</v>
      </c>
      <c r="K30" s="6" t="s">
        <v>30</v>
      </c>
      <c r="L30" s="6"/>
      <c r="M30" s="6" t="s">
        <v>256</v>
      </c>
      <c r="N30" s="6" t="s">
        <v>145</v>
      </c>
      <c r="O30" s="6" t="s">
        <v>76</v>
      </c>
      <c r="P30" s="6" t="s">
        <v>77</v>
      </c>
      <c r="Q30" s="8" t="n">
        <v>0.2</v>
      </c>
      <c r="R30" s="6"/>
      <c r="S30" s="6" t="s">
        <v>35</v>
      </c>
      <c r="T30" s="6" t="s">
        <v>69</v>
      </c>
      <c r="U30" s="8" t="n">
        <v>0.257</v>
      </c>
      <c r="V30" s="6" t="s">
        <v>37</v>
      </c>
      <c r="W30" s="6" t="s">
        <v>38</v>
      </c>
    </row>
    <row r="31" customFormat="false" ht="48" hidden="false" customHeight="true" outlineLevel="0" collapsed="false">
      <c r="A31" s="4" t="n">
        <v>130</v>
      </c>
      <c r="B31" s="4" t="s">
        <v>257</v>
      </c>
      <c r="C31" s="11" t="s">
        <v>258</v>
      </c>
      <c r="D31" s="6"/>
      <c r="E31" s="6"/>
      <c r="F31" s="12" t="s">
        <v>259</v>
      </c>
      <c r="G31" s="6" t="s">
        <v>26</v>
      </c>
      <c r="H31" s="7" t="s">
        <v>27</v>
      </c>
      <c r="I31" s="7" t="s">
        <v>142</v>
      </c>
      <c r="J31" s="12" t="s">
        <v>260</v>
      </c>
      <c r="K31" s="6" t="s">
        <v>30</v>
      </c>
      <c r="L31" s="6" t="s">
        <v>261</v>
      </c>
      <c r="M31" s="6" t="s">
        <v>262</v>
      </c>
      <c r="N31" s="6" t="s">
        <v>210</v>
      </c>
      <c r="O31" s="6" t="s">
        <v>124</v>
      </c>
      <c r="P31" s="6" t="s">
        <v>263</v>
      </c>
      <c r="Q31" s="8" t="n">
        <v>0.25</v>
      </c>
      <c r="R31" s="6"/>
      <c r="S31" s="6" t="s">
        <v>46</v>
      </c>
      <c r="T31" s="6" t="s">
        <v>197</v>
      </c>
      <c r="U31" s="8" t="n">
        <v>0.306</v>
      </c>
      <c r="V31" s="6" t="s">
        <v>37</v>
      </c>
      <c r="W31" s="6" t="s">
        <v>38</v>
      </c>
    </row>
    <row r="32" customFormat="false" ht="48" hidden="false" customHeight="true" outlineLevel="0" collapsed="false">
      <c r="A32" s="4" t="n">
        <v>131</v>
      </c>
      <c r="B32" s="4" t="s">
        <v>264</v>
      </c>
      <c r="C32" s="5" t="s">
        <v>265</v>
      </c>
      <c r="D32" s="6"/>
      <c r="E32" s="6"/>
      <c r="F32" s="6" t="s">
        <v>266</v>
      </c>
      <c r="G32" s="6" t="s">
        <v>26</v>
      </c>
      <c r="H32" s="7" t="s">
        <v>27</v>
      </c>
      <c r="I32" s="7" t="s">
        <v>267</v>
      </c>
      <c r="J32" s="6" t="s">
        <v>268</v>
      </c>
      <c r="K32" s="6" t="s">
        <v>30</v>
      </c>
      <c r="L32" s="6"/>
      <c r="M32" s="6" t="s">
        <v>269</v>
      </c>
      <c r="N32" s="6" t="s">
        <v>270</v>
      </c>
      <c r="O32" s="6" t="s">
        <v>271</v>
      </c>
      <c r="P32" s="6" t="s">
        <v>272</v>
      </c>
      <c r="Q32" s="8" t="n">
        <v>0.477</v>
      </c>
      <c r="R32" s="6"/>
      <c r="S32" s="6" t="s">
        <v>35</v>
      </c>
      <c r="T32" s="6" t="s">
        <v>197</v>
      </c>
      <c r="U32" s="8" t="n">
        <v>0.244</v>
      </c>
      <c r="V32" s="6" t="s">
        <v>37</v>
      </c>
      <c r="W32" s="6" t="s">
        <v>38</v>
      </c>
    </row>
    <row r="33" customFormat="false" ht="48" hidden="false" customHeight="true" outlineLevel="0" collapsed="false">
      <c r="A33" s="4" t="n">
        <v>132</v>
      </c>
      <c r="B33" s="4" t="s">
        <v>273</v>
      </c>
      <c r="C33" s="5" t="s">
        <v>274</v>
      </c>
      <c r="D33" s="6"/>
      <c r="E33" s="6"/>
      <c r="F33" s="6" t="s">
        <v>275</v>
      </c>
      <c r="G33" s="6" t="s">
        <v>26</v>
      </c>
      <c r="H33" s="7" t="s">
        <v>27</v>
      </c>
      <c r="I33" s="7" t="s">
        <v>267</v>
      </c>
      <c r="J33" s="6" t="s">
        <v>276</v>
      </c>
      <c r="K33" s="6" t="s">
        <v>30</v>
      </c>
      <c r="L33" s="6"/>
      <c r="M33" s="6" t="s">
        <v>277</v>
      </c>
      <c r="N33" s="6" t="s">
        <v>278</v>
      </c>
      <c r="O33" s="6" t="s">
        <v>279</v>
      </c>
      <c r="P33" s="6" t="s">
        <v>280</v>
      </c>
      <c r="Q33" s="8" t="n">
        <v>0.514</v>
      </c>
      <c r="R33" s="6" t="s">
        <v>280</v>
      </c>
      <c r="S33" s="6" t="s">
        <v>35</v>
      </c>
      <c r="T33" s="6" t="s">
        <v>281</v>
      </c>
      <c r="U33" s="8" t="n">
        <v>0.231</v>
      </c>
      <c r="V33" s="10" t="s">
        <v>78</v>
      </c>
      <c r="W33" s="5" t="s">
        <v>282</v>
      </c>
    </row>
    <row r="34" customFormat="false" ht="48" hidden="false" customHeight="true" outlineLevel="0" collapsed="false">
      <c r="A34" s="4" t="n">
        <v>133</v>
      </c>
      <c r="B34" s="4" t="s">
        <v>283</v>
      </c>
      <c r="C34" s="5" t="s">
        <v>284</v>
      </c>
      <c r="D34" s="6"/>
      <c r="E34" s="6"/>
      <c r="F34" s="6" t="s">
        <v>285</v>
      </c>
      <c r="G34" s="6" t="s">
        <v>26</v>
      </c>
      <c r="H34" s="7" t="s">
        <v>27</v>
      </c>
      <c r="I34" s="7" t="s">
        <v>267</v>
      </c>
      <c r="J34" s="6" t="s">
        <v>286</v>
      </c>
      <c r="K34" s="6" t="s">
        <v>30</v>
      </c>
      <c r="L34" s="6"/>
      <c r="M34" s="6" t="s">
        <v>287</v>
      </c>
      <c r="N34" s="6" t="s">
        <v>288</v>
      </c>
      <c r="O34" s="6" t="s">
        <v>289</v>
      </c>
      <c r="P34" s="6" t="s">
        <v>290</v>
      </c>
      <c r="Q34" s="8" t="n">
        <v>0.459</v>
      </c>
      <c r="R34" s="6"/>
      <c r="S34" s="6" t="s">
        <v>46</v>
      </c>
      <c r="T34" s="6" t="s">
        <v>197</v>
      </c>
      <c r="U34" s="8" t="n">
        <v>0.222</v>
      </c>
      <c r="V34" s="9" t="s">
        <v>58</v>
      </c>
      <c r="W34" s="6" t="s">
        <v>59</v>
      </c>
    </row>
    <row r="35" customFormat="false" ht="48" hidden="false" customHeight="true" outlineLevel="0" collapsed="false">
      <c r="A35" s="4" t="n">
        <v>134</v>
      </c>
      <c r="B35" s="4" t="s">
        <v>291</v>
      </c>
      <c r="C35" s="5" t="s">
        <v>292</v>
      </c>
      <c r="D35" s="6"/>
      <c r="E35" s="6"/>
      <c r="F35" s="6" t="s">
        <v>293</v>
      </c>
      <c r="G35" s="6" t="s">
        <v>26</v>
      </c>
      <c r="H35" s="7" t="s">
        <v>27</v>
      </c>
      <c r="I35" s="7" t="s">
        <v>267</v>
      </c>
      <c r="J35" s="6" t="s">
        <v>294</v>
      </c>
      <c r="K35" s="6" t="s">
        <v>64</v>
      </c>
      <c r="L35" s="6"/>
      <c r="M35" s="6" t="s">
        <v>295</v>
      </c>
      <c r="N35" s="6" t="s">
        <v>66</v>
      </c>
      <c r="O35" s="6" t="s">
        <v>296</v>
      </c>
      <c r="P35" s="6" t="s">
        <v>179</v>
      </c>
      <c r="Q35" s="8" t="n">
        <v>0.362</v>
      </c>
      <c r="R35" s="6"/>
      <c r="S35" s="6" t="s">
        <v>46</v>
      </c>
      <c r="T35" s="6" t="s">
        <v>197</v>
      </c>
      <c r="U35" s="8" t="n">
        <v>0.224</v>
      </c>
      <c r="V35" s="6" t="s">
        <v>37</v>
      </c>
      <c r="W35" s="6" t="s">
        <v>38</v>
      </c>
    </row>
    <row r="36" customFormat="false" ht="48" hidden="false" customHeight="true" outlineLevel="0" collapsed="false">
      <c r="A36" s="4" t="n">
        <v>135</v>
      </c>
      <c r="B36" s="4" t="s">
        <v>297</v>
      </c>
      <c r="C36" s="5" t="s">
        <v>298</v>
      </c>
      <c r="D36" s="6"/>
      <c r="E36" s="6"/>
      <c r="F36" s="6" t="s">
        <v>299</v>
      </c>
      <c r="G36" s="6" t="s">
        <v>26</v>
      </c>
      <c r="H36" s="7" t="s">
        <v>27</v>
      </c>
      <c r="I36" s="7" t="s">
        <v>267</v>
      </c>
      <c r="J36" s="6" t="s">
        <v>300</v>
      </c>
      <c r="K36" s="6" t="s">
        <v>64</v>
      </c>
      <c r="L36" s="6"/>
      <c r="M36" s="6" t="s">
        <v>301</v>
      </c>
      <c r="N36" s="6" t="s">
        <v>66</v>
      </c>
      <c r="O36" s="6" t="s">
        <v>302</v>
      </c>
      <c r="P36" s="6" t="s">
        <v>251</v>
      </c>
      <c r="Q36" s="8" t="n">
        <v>0.4</v>
      </c>
      <c r="R36" s="6"/>
      <c r="S36" s="6" t="s">
        <v>46</v>
      </c>
      <c r="T36" s="6" t="s">
        <v>281</v>
      </c>
      <c r="U36" s="8" t="n">
        <v>0.167</v>
      </c>
      <c r="V36" s="6" t="s">
        <v>37</v>
      </c>
      <c r="W36" s="6" t="s">
        <v>38</v>
      </c>
    </row>
    <row r="37" customFormat="false" ht="48" hidden="false" customHeight="true" outlineLevel="0" collapsed="false">
      <c r="A37" s="4" t="n">
        <v>136</v>
      </c>
      <c r="B37" s="4" t="s">
        <v>303</v>
      </c>
      <c r="C37" s="5" t="s">
        <v>304</v>
      </c>
      <c r="D37" s="6"/>
      <c r="E37" s="6"/>
      <c r="F37" s="6" t="s">
        <v>305</v>
      </c>
      <c r="G37" s="6" t="s">
        <v>26</v>
      </c>
      <c r="H37" s="7" t="s">
        <v>27</v>
      </c>
      <c r="I37" s="7" t="s">
        <v>267</v>
      </c>
      <c r="J37" s="6" t="s">
        <v>306</v>
      </c>
      <c r="K37" s="6" t="s">
        <v>52</v>
      </c>
      <c r="L37" s="6"/>
      <c r="M37" s="6" t="s">
        <v>307</v>
      </c>
      <c r="N37" s="6" t="s">
        <v>308</v>
      </c>
      <c r="O37" s="6" t="s">
        <v>309</v>
      </c>
      <c r="P37" s="6" t="s">
        <v>310</v>
      </c>
      <c r="Q37" s="8" t="n">
        <v>0.462</v>
      </c>
      <c r="R37" s="6"/>
      <c r="S37" s="6" t="s">
        <v>46</v>
      </c>
      <c r="T37" s="6" t="s">
        <v>311</v>
      </c>
      <c r="U37" s="8" t="n">
        <v>0.262</v>
      </c>
      <c r="V37" s="6" t="s">
        <v>37</v>
      </c>
      <c r="W37" s="6" t="s">
        <v>38</v>
      </c>
    </row>
    <row r="38" customFormat="false" ht="48" hidden="false" customHeight="true" outlineLevel="0" collapsed="false">
      <c r="A38" s="4" t="n">
        <v>137</v>
      </c>
      <c r="B38" s="4" t="s">
        <v>312</v>
      </c>
      <c r="C38" s="5" t="s">
        <v>313</v>
      </c>
      <c r="D38" s="6"/>
      <c r="E38" s="6"/>
      <c r="F38" s="6" t="s">
        <v>314</v>
      </c>
      <c r="G38" s="6" t="s">
        <v>26</v>
      </c>
      <c r="H38" s="7" t="s">
        <v>27</v>
      </c>
      <c r="I38" s="7" t="s">
        <v>267</v>
      </c>
      <c r="J38" s="6" t="s">
        <v>315</v>
      </c>
      <c r="K38" s="6" t="s">
        <v>30</v>
      </c>
      <c r="L38" s="6"/>
      <c r="M38" s="6" t="s">
        <v>316</v>
      </c>
      <c r="N38" s="6" t="s">
        <v>317</v>
      </c>
      <c r="O38" s="6" t="s">
        <v>279</v>
      </c>
      <c r="P38" s="6" t="s">
        <v>224</v>
      </c>
      <c r="Q38" s="8" t="n">
        <v>0.524</v>
      </c>
      <c r="R38" s="6"/>
      <c r="S38" s="6" t="s">
        <v>46</v>
      </c>
      <c r="T38" s="6" t="s">
        <v>318</v>
      </c>
      <c r="U38" s="8" t="n">
        <v>0.2</v>
      </c>
      <c r="V38" s="10" t="s">
        <v>78</v>
      </c>
      <c r="W38" s="6" t="s">
        <v>319</v>
      </c>
    </row>
    <row r="39" customFormat="false" ht="48" hidden="false" customHeight="true" outlineLevel="0" collapsed="false">
      <c r="A39" s="4" t="n">
        <v>138</v>
      </c>
      <c r="B39" s="4" t="s">
        <v>320</v>
      </c>
      <c r="C39" s="5" t="s">
        <v>321</v>
      </c>
      <c r="D39" s="6"/>
      <c r="E39" s="6"/>
      <c r="F39" s="6" t="s">
        <v>322</v>
      </c>
      <c r="G39" s="6" t="s">
        <v>26</v>
      </c>
      <c r="H39" s="7" t="s">
        <v>27</v>
      </c>
      <c r="I39" s="7" t="s">
        <v>267</v>
      </c>
      <c r="J39" s="6" t="s">
        <v>323</v>
      </c>
      <c r="K39" s="6" t="s">
        <v>30</v>
      </c>
      <c r="L39" s="6"/>
      <c r="M39" s="6" t="s">
        <v>324</v>
      </c>
      <c r="N39" s="6" t="s">
        <v>317</v>
      </c>
      <c r="O39" s="6" t="s">
        <v>271</v>
      </c>
      <c r="P39" s="6" t="s">
        <v>325</v>
      </c>
      <c r="Q39" s="8" t="n">
        <v>0.333</v>
      </c>
      <c r="R39" s="6"/>
      <c r="S39" s="6" t="s">
        <v>46</v>
      </c>
      <c r="T39" s="6" t="s">
        <v>157</v>
      </c>
      <c r="U39" s="8" t="n">
        <v>0.208</v>
      </c>
      <c r="V39" s="9" t="s">
        <v>58</v>
      </c>
      <c r="W39" s="6" t="s">
        <v>59</v>
      </c>
    </row>
    <row r="40" customFormat="false" ht="48" hidden="false" customHeight="true" outlineLevel="0" collapsed="false">
      <c r="A40" s="4" t="n">
        <v>139</v>
      </c>
      <c r="B40" s="4" t="s">
        <v>326</v>
      </c>
      <c r="C40" s="6" t="s">
        <v>327</v>
      </c>
      <c r="D40" s="6"/>
      <c r="E40" s="6"/>
      <c r="F40" s="6" t="s">
        <v>328</v>
      </c>
      <c r="G40" s="6" t="s">
        <v>26</v>
      </c>
      <c r="H40" s="7" t="s">
        <v>27</v>
      </c>
      <c r="I40" s="7" t="s">
        <v>267</v>
      </c>
      <c r="J40" s="6" t="s">
        <v>329</v>
      </c>
      <c r="K40" s="6" t="s">
        <v>30</v>
      </c>
      <c r="L40" s="6"/>
      <c r="M40" s="6" t="s">
        <v>330</v>
      </c>
      <c r="N40" s="6" t="s">
        <v>317</v>
      </c>
      <c r="O40" s="6" t="s">
        <v>279</v>
      </c>
      <c r="P40" s="6" t="s">
        <v>331</v>
      </c>
      <c r="Q40" s="8" t="n">
        <v>0.31</v>
      </c>
      <c r="R40" s="6"/>
      <c r="S40" s="6" t="s">
        <v>46</v>
      </c>
      <c r="T40" s="6" t="s">
        <v>197</v>
      </c>
      <c r="U40" s="8" t="n">
        <v>0.179</v>
      </c>
      <c r="V40" s="9" t="s">
        <v>58</v>
      </c>
      <c r="W40" s="6" t="s">
        <v>59</v>
      </c>
    </row>
    <row r="41" customFormat="false" ht="48" hidden="false" customHeight="true" outlineLevel="0" collapsed="false">
      <c r="A41" s="4" t="n">
        <v>140</v>
      </c>
      <c r="B41" s="4" t="s">
        <v>332</v>
      </c>
      <c r="C41" s="6" t="s">
        <v>333</v>
      </c>
      <c r="D41" s="6"/>
      <c r="E41" s="6"/>
      <c r="F41" s="6" t="s">
        <v>334</v>
      </c>
      <c r="G41" s="6" t="s">
        <v>26</v>
      </c>
      <c r="H41" s="7" t="s">
        <v>27</v>
      </c>
      <c r="I41" s="7" t="s">
        <v>267</v>
      </c>
      <c r="J41" s="6" t="s">
        <v>335</v>
      </c>
      <c r="K41" s="6" t="s">
        <v>52</v>
      </c>
      <c r="L41" s="6"/>
      <c r="M41" s="6" t="s">
        <v>336</v>
      </c>
      <c r="N41" s="6" t="s">
        <v>308</v>
      </c>
      <c r="O41" s="6" t="s">
        <v>337</v>
      </c>
      <c r="P41" s="6" t="s">
        <v>100</v>
      </c>
      <c r="Q41" s="8" t="n">
        <v>0.343</v>
      </c>
      <c r="R41" s="6"/>
      <c r="S41" s="6" t="s">
        <v>46</v>
      </c>
      <c r="T41" s="6" t="s">
        <v>311</v>
      </c>
      <c r="U41" s="8" t="n">
        <v>0.236</v>
      </c>
      <c r="V41" s="6" t="s">
        <v>37</v>
      </c>
      <c r="W41" s="6" t="s">
        <v>38</v>
      </c>
    </row>
    <row r="42" customFormat="false" ht="48" hidden="false" customHeight="true" outlineLevel="0" collapsed="false">
      <c r="A42" s="4" t="n">
        <v>141</v>
      </c>
      <c r="B42" s="4" t="s">
        <v>338</v>
      </c>
      <c r="C42" s="6" t="s">
        <v>339</v>
      </c>
      <c r="D42" s="6"/>
      <c r="E42" s="6"/>
      <c r="F42" s="6" t="s">
        <v>340</v>
      </c>
      <c r="G42" s="6" t="s">
        <v>26</v>
      </c>
      <c r="H42" s="7" t="s">
        <v>27</v>
      </c>
      <c r="I42" s="7" t="s">
        <v>267</v>
      </c>
      <c r="J42" s="6" t="s">
        <v>341</v>
      </c>
      <c r="K42" s="6" t="s">
        <v>30</v>
      </c>
      <c r="L42" s="6"/>
      <c r="M42" s="6" t="s">
        <v>342</v>
      </c>
      <c r="N42" s="6" t="s">
        <v>317</v>
      </c>
      <c r="O42" s="6" t="s">
        <v>343</v>
      </c>
      <c r="P42" s="6" t="s">
        <v>344</v>
      </c>
      <c r="Q42" s="8" t="n">
        <v>0.277</v>
      </c>
      <c r="R42" s="6"/>
      <c r="S42" s="6" t="s">
        <v>46</v>
      </c>
      <c r="T42" s="6" t="s">
        <v>197</v>
      </c>
      <c r="U42" s="8" t="n">
        <v>0.179</v>
      </c>
      <c r="V42" s="9" t="s">
        <v>58</v>
      </c>
      <c r="W42" s="6" t="s">
        <v>59</v>
      </c>
    </row>
    <row r="43" customFormat="false" ht="48" hidden="false" customHeight="true" outlineLevel="0" collapsed="false">
      <c r="A43" s="4" t="n">
        <v>142</v>
      </c>
      <c r="B43" s="4" t="s">
        <v>345</v>
      </c>
      <c r="C43" s="5" t="s">
        <v>346</v>
      </c>
      <c r="D43" s="6"/>
      <c r="E43" s="6"/>
      <c r="F43" s="6" t="s">
        <v>347</v>
      </c>
      <c r="G43" s="6" t="s">
        <v>26</v>
      </c>
      <c r="H43" s="7" t="s">
        <v>27</v>
      </c>
      <c r="I43" s="7" t="s">
        <v>267</v>
      </c>
      <c r="J43" s="6" t="s">
        <v>348</v>
      </c>
      <c r="K43" s="6" t="s">
        <v>64</v>
      </c>
      <c r="L43" s="6"/>
      <c r="M43" s="6" t="s">
        <v>349</v>
      </c>
      <c r="N43" s="6" t="s">
        <v>66</v>
      </c>
      <c r="O43" s="6" t="s">
        <v>296</v>
      </c>
      <c r="P43" s="6" t="s">
        <v>272</v>
      </c>
      <c r="Q43" s="8" t="n">
        <v>0.296</v>
      </c>
      <c r="R43" s="6"/>
      <c r="S43" s="6" t="s">
        <v>46</v>
      </c>
      <c r="T43" s="6" t="s">
        <v>180</v>
      </c>
      <c r="U43" s="8" t="n">
        <v>0.153</v>
      </c>
      <c r="V43" s="6" t="s">
        <v>37</v>
      </c>
      <c r="W43" s="6" t="s">
        <v>38</v>
      </c>
    </row>
    <row r="44" customFormat="false" ht="48" hidden="false" customHeight="true" outlineLevel="0" collapsed="false">
      <c r="A44" s="4" t="n">
        <v>143</v>
      </c>
      <c r="B44" s="4" t="s">
        <v>350</v>
      </c>
      <c r="C44" s="6" t="s">
        <v>351</v>
      </c>
      <c r="D44" s="6"/>
      <c r="E44" s="6"/>
      <c r="F44" s="6" t="s">
        <v>352</v>
      </c>
      <c r="G44" s="6" t="s">
        <v>26</v>
      </c>
      <c r="H44" s="7" t="s">
        <v>27</v>
      </c>
      <c r="I44" s="7" t="s">
        <v>267</v>
      </c>
      <c r="J44" s="6" t="s">
        <v>353</v>
      </c>
      <c r="K44" s="6" t="s">
        <v>30</v>
      </c>
      <c r="L44" s="6"/>
      <c r="M44" s="6" t="s">
        <v>354</v>
      </c>
      <c r="N44" s="6" t="s">
        <v>355</v>
      </c>
      <c r="O44" s="6" t="s">
        <v>271</v>
      </c>
      <c r="P44" s="6" t="s">
        <v>272</v>
      </c>
      <c r="Q44" s="8" t="n">
        <v>0.321</v>
      </c>
      <c r="R44" s="6"/>
      <c r="S44" s="6" t="s">
        <v>46</v>
      </c>
      <c r="T44" s="6" t="s">
        <v>231</v>
      </c>
      <c r="U44" s="8" t="n">
        <v>0.177</v>
      </c>
      <c r="V44" s="9" t="s">
        <v>58</v>
      </c>
      <c r="W44" s="6" t="s">
        <v>59</v>
      </c>
    </row>
    <row r="45" customFormat="false" ht="48" hidden="false" customHeight="true" outlineLevel="0" collapsed="false">
      <c r="A45" s="4" t="n">
        <v>144</v>
      </c>
      <c r="B45" s="4" t="s">
        <v>356</v>
      </c>
      <c r="C45" s="5" t="s">
        <v>357</v>
      </c>
      <c r="D45" s="6"/>
      <c r="E45" s="6"/>
      <c r="F45" s="6" t="s">
        <v>358</v>
      </c>
      <c r="G45" s="6" t="s">
        <v>26</v>
      </c>
      <c r="H45" s="7" t="s">
        <v>359</v>
      </c>
      <c r="I45" s="7" t="s">
        <v>28</v>
      </c>
      <c r="J45" s="6" t="s">
        <v>360</v>
      </c>
      <c r="K45" s="6" t="s">
        <v>30</v>
      </c>
      <c r="L45" s="6"/>
      <c r="M45" s="6" t="s">
        <v>361</v>
      </c>
      <c r="N45" s="6" t="s">
        <v>362</v>
      </c>
      <c r="O45" s="6" t="s">
        <v>363</v>
      </c>
      <c r="P45" s="6" t="s">
        <v>364</v>
      </c>
      <c r="Q45" s="8" t="n">
        <v>0.538</v>
      </c>
      <c r="R45" s="6" t="s">
        <v>364</v>
      </c>
      <c r="S45" s="6" t="s">
        <v>35</v>
      </c>
      <c r="T45" s="6" t="s">
        <v>365</v>
      </c>
      <c r="U45" s="8" t="n">
        <v>0.154</v>
      </c>
      <c r="V45" s="10" t="s">
        <v>78</v>
      </c>
      <c r="W45" s="5" t="s">
        <v>366</v>
      </c>
    </row>
    <row r="46" customFormat="false" ht="48" hidden="false" customHeight="true" outlineLevel="0" collapsed="false">
      <c r="A46" s="4" t="n">
        <v>145</v>
      </c>
      <c r="B46" s="4" t="s">
        <v>367</v>
      </c>
      <c r="C46" s="5" t="s">
        <v>368</v>
      </c>
      <c r="D46" s="6"/>
      <c r="E46" s="6"/>
      <c r="F46" s="6" t="s">
        <v>369</v>
      </c>
      <c r="G46" s="6" t="s">
        <v>26</v>
      </c>
      <c r="H46" s="7" t="s">
        <v>359</v>
      </c>
      <c r="I46" s="7" t="s">
        <v>28</v>
      </c>
      <c r="J46" s="6" t="s">
        <v>370</v>
      </c>
      <c r="K46" s="6" t="s">
        <v>43</v>
      </c>
      <c r="L46" s="6"/>
      <c r="M46" s="6" t="s">
        <v>371</v>
      </c>
      <c r="N46" s="6" t="s">
        <v>372</v>
      </c>
      <c r="O46" s="6" t="s">
        <v>363</v>
      </c>
      <c r="P46" s="6" t="s">
        <v>373</v>
      </c>
      <c r="Q46" s="8" t="n">
        <v>0.167</v>
      </c>
      <c r="R46" s="6"/>
      <c r="S46" s="6" t="s">
        <v>46</v>
      </c>
      <c r="T46" s="6" t="s">
        <v>47</v>
      </c>
      <c r="U46" s="8" t="n">
        <v>0.222</v>
      </c>
      <c r="V46" s="9" t="s">
        <v>58</v>
      </c>
      <c r="W46" s="6" t="s">
        <v>59</v>
      </c>
    </row>
    <row r="47" customFormat="false" ht="48" hidden="false" customHeight="true" outlineLevel="0" collapsed="false">
      <c r="A47" s="4" t="n">
        <v>146</v>
      </c>
      <c r="B47" s="4" t="s">
        <v>374</v>
      </c>
      <c r="C47" s="6" t="s">
        <v>375</v>
      </c>
      <c r="D47" s="6"/>
      <c r="E47" s="6"/>
      <c r="F47" s="6" t="s">
        <v>376</v>
      </c>
      <c r="G47" s="6" t="s">
        <v>26</v>
      </c>
      <c r="H47" s="7" t="s">
        <v>359</v>
      </c>
      <c r="I47" s="7" t="s">
        <v>28</v>
      </c>
      <c r="J47" s="6" t="s">
        <v>377</v>
      </c>
      <c r="K47" s="6" t="s">
        <v>52</v>
      </c>
      <c r="L47" s="6"/>
      <c r="M47" s="6" t="s">
        <v>378</v>
      </c>
      <c r="N47" s="6" t="s">
        <v>379</v>
      </c>
      <c r="O47" s="6" t="s">
        <v>380</v>
      </c>
      <c r="P47" s="6" t="s">
        <v>381</v>
      </c>
      <c r="Q47" s="8" t="n">
        <v>0.455</v>
      </c>
      <c r="R47" s="6"/>
      <c r="S47" s="6" t="s">
        <v>46</v>
      </c>
      <c r="T47" s="6" t="s">
        <v>382</v>
      </c>
      <c r="U47" s="8" t="n">
        <v>0.382</v>
      </c>
      <c r="V47" s="9" t="s">
        <v>58</v>
      </c>
      <c r="W47" s="6" t="s">
        <v>59</v>
      </c>
    </row>
    <row r="48" customFormat="false" ht="48" hidden="false" customHeight="true" outlineLevel="0" collapsed="false">
      <c r="A48" s="4" t="n">
        <v>147</v>
      </c>
      <c r="B48" s="4" t="s">
        <v>383</v>
      </c>
      <c r="C48" s="6" t="s">
        <v>384</v>
      </c>
      <c r="D48" s="6"/>
      <c r="E48" s="6"/>
      <c r="F48" s="6" t="s">
        <v>385</v>
      </c>
      <c r="G48" s="6" t="s">
        <v>26</v>
      </c>
      <c r="H48" s="7" t="s">
        <v>359</v>
      </c>
      <c r="I48" s="7" t="s">
        <v>28</v>
      </c>
      <c r="J48" s="6" t="s">
        <v>386</v>
      </c>
      <c r="K48" s="6" t="s">
        <v>52</v>
      </c>
      <c r="L48" s="6"/>
      <c r="M48" s="6" t="s">
        <v>387</v>
      </c>
      <c r="N48" s="6" t="s">
        <v>379</v>
      </c>
      <c r="O48" s="6" t="s">
        <v>380</v>
      </c>
      <c r="P48" s="6" t="s">
        <v>244</v>
      </c>
      <c r="Q48" s="8" t="n">
        <v>0.532</v>
      </c>
      <c r="R48" s="6"/>
      <c r="S48" s="6" t="s">
        <v>46</v>
      </c>
      <c r="T48" s="6" t="s">
        <v>57</v>
      </c>
      <c r="U48" s="8" t="n">
        <v>0.302</v>
      </c>
      <c r="V48" s="10" t="s">
        <v>78</v>
      </c>
      <c r="W48" s="6" t="s">
        <v>388</v>
      </c>
    </row>
    <row r="49" customFormat="false" ht="48" hidden="false" customHeight="true" outlineLevel="0" collapsed="false">
      <c r="A49" s="4" t="n">
        <v>148</v>
      </c>
      <c r="B49" s="4" t="s">
        <v>389</v>
      </c>
      <c r="C49" s="5" t="s">
        <v>390</v>
      </c>
      <c r="D49" s="6"/>
      <c r="E49" s="6"/>
      <c r="F49" s="6" t="s">
        <v>391</v>
      </c>
      <c r="G49" s="6" t="s">
        <v>26</v>
      </c>
      <c r="H49" s="7" t="s">
        <v>359</v>
      </c>
      <c r="I49" s="7" t="s">
        <v>28</v>
      </c>
      <c r="J49" s="6" t="s">
        <v>392</v>
      </c>
      <c r="K49" s="6" t="s">
        <v>64</v>
      </c>
      <c r="L49" s="6"/>
      <c r="M49" s="6" t="s">
        <v>393</v>
      </c>
      <c r="N49" s="6" t="s">
        <v>394</v>
      </c>
      <c r="O49" s="6" t="s">
        <v>395</v>
      </c>
      <c r="P49" s="6" t="s">
        <v>187</v>
      </c>
      <c r="Q49" s="8" t="n">
        <v>0.421</v>
      </c>
      <c r="R49" s="6"/>
      <c r="S49" s="6" t="s">
        <v>46</v>
      </c>
      <c r="T49" s="6" t="s">
        <v>396</v>
      </c>
      <c r="U49" s="8" t="n">
        <v>0.083</v>
      </c>
      <c r="V49" s="6" t="s">
        <v>37</v>
      </c>
      <c r="W49" s="6" t="s">
        <v>38</v>
      </c>
    </row>
    <row r="50" customFormat="false" ht="48" hidden="false" customHeight="true" outlineLevel="0" collapsed="false">
      <c r="A50" s="4" t="n">
        <v>149</v>
      </c>
      <c r="B50" s="4" t="s">
        <v>397</v>
      </c>
      <c r="C50" s="5" t="s">
        <v>398</v>
      </c>
      <c r="D50" s="6"/>
      <c r="E50" s="6"/>
      <c r="F50" s="6" t="s">
        <v>399</v>
      </c>
      <c r="G50" s="6" t="s">
        <v>26</v>
      </c>
      <c r="H50" s="7" t="s">
        <v>359</v>
      </c>
      <c r="I50" s="7" t="s">
        <v>28</v>
      </c>
      <c r="J50" s="6" t="s">
        <v>400</v>
      </c>
      <c r="K50" s="6" t="s">
        <v>43</v>
      </c>
      <c r="L50" s="6"/>
      <c r="M50" s="6" t="s">
        <v>401</v>
      </c>
      <c r="N50" s="6" t="s">
        <v>394</v>
      </c>
      <c r="O50" s="6" t="s">
        <v>363</v>
      </c>
      <c r="P50" s="6" t="s">
        <v>116</v>
      </c>
      <c r="Q50" s="8" t="n">
        <v>0.231</v>
      </c>
      <c r="R50" s="6"/>
      <c r="S50" s="6" t="s">
        <v>35</v>
      </c>
      <c r="T50" s="6" t="s">
        <v>402</v>
      </c>
      <c r="U50" s="8" t="n">
        <v>0.174</v>
      </c>
      <c r="V50" s="6" t="s">
        <v>37</v>
      </c>
      <c r="W50" s="6" t="s">
        <v>38</v>
      </c>
    </row>
    <row r="51" customFormat="false" ht="48" hidden="false" customHeight="true" outlineLevel="0" collapsed="false">
      <c r="A51" s="4" t="n">
        <v>150</v>
      </c>
      <c r="B51" s="4" t="s">
        <v>403</v>
      </c>
      <c r="C51" s="5" t="s">
        <v>404</v>
      </c>
      <c r="D51" s="6"/>
      <c r="E51" s="6"/>
      <c r="F51" s="6" t="s">
        <v>405</v>
      </c>
      <c r="G51" s="6" t="s">
        <v>26</v>
      </c>
      <c r="H51" s="7" t="s">
        <v>359</v>
      </c>
      <c r="I51" s="7" t="s">
        <v>28</v>
      </c>
      <c r="J51" s="6" t="s">
        <v>406</v>
      </c>
      <c r="K51" s="6" t="s">
        <v>43</v>
      </c>
      <c r="L51" s="6"/>
      <c r="M51" s="6" t="s">
        <v>407</v>
      </c>
      <c r="N51" s="6" t="s">
        <v>394</v>
      </c>
      <c r="O51" s="6" t="s">
        <v>363</v>
      </c>
      <c r="P51" s="6" t="s">
        <v>408</v>
      </c>
      <c r="Q51" s="8" t="n">
        <v>0.2</v>
      </c>
      <c r="R51" s="6"/>
      <c r="S51" s="6" t="s">
        <v>35</v>
      </c>
      <c r="T51" s="6" t="s">
        <v>409</v>
      </c>
      <c r="U51" s="8" t="n">
        <v>0.103</v>
      </c>
      <c r="V51" s="6" t="s">
        <v>37</v>
      </c>
      <c r="W51" s="6" t="s">
        <v>38</v>
      </c>
    </row>
    <row r="52" customFormat="false" ht="48" hidden="false" customHeight="true" outlineLevel="0" collapsed="false">
      <c r="A52" s="4" t="n">
        <v>151</v>
      </c>
      <c r="B52" s="4" t="s">
        <v>410</v>
      </c>
      <c r="C52" s="5" t="s">
        <v>411</v>
      </c>
      <c r="D52" s="6"/>
      <c r="E52" s="6"/>
      <c r="F52" s="6" t="s">
        <v>412</v>
      </c>
      <c r="G52" s="6" t="s">
        <v>26</v>
      </c>
      <c r="H52" s="7" t="s">
        <v>359</v>
      </c>
      <c r="I52" s="7" t="s">
        <v>28</v>
      </c>
      <c r="J52" s="6" t="s">
        <v>413</v>
      </c>
      <c r="K52" s="6" t="s">
        <v>30</v>
      </c>
      <c r="L52" s="6"/>
      <c r="M52" s="6" t="s">
        <v>414</v>
      </c>
      <c r="N52" s="6" t="s">
        <v>362</v>
      </c>
      <c r="O52" s="6" t="s">
        <v>363</v>
      </c>
      <c r="P52" s="6" t="s">
        <v>415</v>
      </c>
      <c r="Q52" s="8" t="n">
        <v>0.2</v>
      </c>
      <c r="R52" s="6"/>
      <c r="S52" s="6" t="s">
        <v>35</v>
      </c>
      <c r="T52" s="6" t="s">
        <v>416</v>
      </c>
      <c r="U52" s="8" t="n">
        <v>0.194</v>
      </c>
      <c r="V52" s="6" t="s">
        <v>37</v>
      </c>
      <c r="W52" s="6" t="s">
        <v>38</v>
      </c>
    </row>
    <row r="53" customFormat="false" ht="48" hidden="false" customHeight="true" outlineLevel="0" collapsed="false">
      <c r="A53" s="4" t="n">
        <v>152</v>
      </c>
      <c r="B53" s="4" t="s">
        <v>417</v>
      </c>
      <c r="C53" s="5" t="s">
        <v>418</v>
      </c>
      <c r="D53" s="6"/>
      <c r="E53" s="6"/>
      <c r="F53" s="6" t="s">
        <v>419</v>
      </c>
      <c r="G53" s="6" t="s">
        <v>26</v>
      </c>
      <c r="H53" s="7" t="s">
        <v>359</v>
      </c>
      <c r="I53" s="7" t="s">
        <v>28</v>
      </c>
      <c r="J53" s="6" t="s">
        <v>420</v>
      </c>
      <c r="K53" s="6" t="s">
        <v>30</v>
      </c>
      <c r="L53" s="6"/>
      <c r="M53" s="6" t="s">
        <v>421</v>
      </c>
      <c r="N53" s="6" t="s">
        <v>362</v>
      </c>
      <c r="O53" s="6" t="s">
        <v>363</v>
      </c>
      <c r="P53" s="6" t="s">
        <v>422</v>
      </c>
      <c r="Q53" s="8" t="n">
        <v>0.455</v>
      </c>
      <c r="R53" s="6"/>
      <c r="S53" s="6" t="s">
        <v>35</v>
      </c>
      <c r="T53" s="6" t="s">
        <v>148</v>
      </c>
      <c r="U53" s="8" t="n">
        <v>0.16</v>
      </c>
      <c r="V53" s="6" t="s">
        <v>37</v>
      </c>
      <c r="W53" s="6" t="s">
        <v>38</v>
      </c>
    </row>
    <row r="54" customFormat="false" ht="48" hidden="false" customHeight="true" outlineLevel="0" collapsed="false">
      <c r="A54" s="4" t="n">
        <v>153</v>
      </c>
      <c r="B54" s="4" t="s">
        <v>423</v>
      </c>
      <c r="C54" s="5" t="s">
        <v>424</v>
      </c>
      <c r="D54" s="6"/>
      <c r="E54" s="6"/>
      <c r="F54" s="6" t="s">
        <v>425</v>
      </c>
      <c r="G54" s="6" t="s">
        <v>26</v>
      </c>
      <c r="H54" s="7" t="s">
        <v>359</v>
      </c>
      <c r="I54" s="7" t="s">
        <v>28</v>
      </c>
      <c r="J54" s="6" t="s">
        <v>426</v>
      </c>
      <c r="K54" s="6" t="s">
        <v>64</v>
      </c>
      <c r="L54" s="6"/>
      <c r="M54" s="6" t="s">
        <v>427</v>
      </c>
      <c r="N54" s="6" t="s">
        <v>394</v>
      </c>
      <c r="O54" s="6" t="s">
        <v>395</v>
      </c>
      <c r="P54" s="6" t="s">
        <v>428</v>
      </c>
      <c r="Q54" s="8" t="n">
        <v>0.147</v>
      </c>
      <c r="R54" s="6"/>
      <c r="S54" s="6" t="s">
        <v>46</v>
      </c>
      <c r="T54" s="6" t="s">
        <v>429</v>
      </c>
      <c r="U54" s="8" t="n">
        <v>0.1</v>
      </c>
      <c r="V54" s="6" t="s">
        <v>37</v>
      </c>
      <c r="W54" s="6" t="s">
        <v>38</v>
      </c>
    </row>
    <row r="55" customFormat="false" ht="48" hidden="false" customHeight="true" outlineLevel="0" collapsed="false">
      <c r="A55" s="4" t="n">
        <v>154</v>
      </c>
      <c r="B55" s="4" t="s">
        <v>430</v>
      </c>
      <c r="C55" s="6" t="s">
        <v>431</v>
      </c>
      <c r="D55" s="6"/>
      <c r="E55" s="6"/>
      <c r="F55" s="6" t="s">
        <v>432</v>
      </c>
      <c r="G55" s="6" t="s">
        <v>26</v>
      </c>
      <c r="H55" s="7" t="s">
        <v>359</v>
      </c>
      <c r="I55" s="7" t="s">
        <v>28</v>
      </c>
      <c r="J55" s="6" t="s">
        <v>433</v>
      </c>
      <c r="K55" s="6" t="s">
        <v>52</v>
      </c>
      <c r="L55" s="6"/>
      <c r="M55" s="6" t="s">
        <v>434</v>
      </c>
      <c r="N55" s="6" t="s">
        <v>379</v>
      </c>
      <c r="O55" s="6" t="s">
        <v>380</v>
      </c>
      <c r="P55" s="6" t="s">
        <v>381</v>
      </c>
      <c r="Q55" s="8" t="n">
        <v>0.093</v>
      </c>
      <c r="R55" s="6"/>
      <c r="S55" s="6" t="s">
        <v>46</v>
      </c>
      <c r="T55" s="6" t="s">
        <v>435</v>
      </c>
      <c r="U55" s="8" t="n">
        <v>0.355</v>
      </c>
      <c r="V55" s="9" t="s">
        <v>58</v>
      </c>
      <c r="W55" s="6" t="s">
        <v>59</v>
      </c>
    </row>
    <row r="56" customFormat="false" ht="48" hidden="false" customHeight="true" outlineLevel="0" collapsed="false">
      <c r="A56" s="4" t="n">
        <v>155</v>
      </c>
      <c r="B56" s="4" t="s">
        <v>436</v>
      </c>
      <c r="C56" s="5" t="s">
        <v>437</v>
      </c>
      <c r="D56" s="6"/>
      <c r="E56" s="6"/>
      <c r="F56" s="6" t="s">
        <v>438</v>
      </c>
      <c r="G56" s="6" t="s">
        <v>26</v>
      </c>
      <c r="H56" s="7" t="s">
        <v>359</v>
      </c>
      <c r="I56" s="7" t="s">
        <v>28</v>
      </c>
      <c r="J56" s="6" t="s">
        <v>439</v>
      </c>
      <c r="K56" s="6" t="s">
        <v>30</v>
      </c>
      <c r="L56" s="6"/>
      <c r="M56" s="6" t="s">
        <v>440</v>
      </c>
      <c r="N56" s="6" t="s">
        <v>362</v>
      </c>
      <c r="O56" s="6" t="s">
        <v>363</v>
      </c>
      <c r="P56" s="6" t="s">
        <v>68</v>
      </c>
      <c r="Q56" s="8" t="n">
        <v>0.182</v>
      </c>
      <c r="R56" s="6"/>
      <c r="S56" s="6" t="s">
        <v>35</v>
      </c>
      <c r="T56" s="6" t="s">
        <v>441</v>
      </c>
      <c r="U56" s="8" t="n">
        <v>0.167</v>
      </c>
      <c r="V56" s="6" t="s">
        <v>37</v>
      </c>
      <c r="W56" s="6" t="s">
        <v>38</v>
      </c>
    </row>
    <row r="57" customFormat="false" ht="48" hidden="false" customHeight="true" outlineLevel="0" collapsed="false">
      <c r="A57" s="4" t="n">
        <v>156</v>
      </c>
      <c r="B57" s="4" t="s">
        <v>442</v>
      </c>
      <c r="C57" s="6" t="s">
        <v>443</v>
      </c>
      <c r="D57" s="6"/>
      <c r="E57" s="6"/>
      <c r="F57" s="6" t="s">
        <v>444</v>
      </c>
      <c r="G57" s="6" t="s">
        <v>26</v>
      </c>
      <c r="H57" s="7" t="s">
        <v>359</v>
      </c>
      <c r="I57" s="7" t="s">
        <v>28</v>
      </c>
      <c r="J57" s="6" t="s">
        <v>445</v>
      </c>
      <c r="K57" s="6" t="s">
        <v>52</v>
      </c>
      <c r="L57" s="6"/>
      <c r="M57" s="6" t="s">
        <v>446</v>
      </c>
      <c r="N57" s="6" t="s">
        <v>379</v>
      </c>
      <c r="O57" s="6" t="s">
        <v>380</v>
      </c>
      <c r="P57" s="6" t="s">
        <v>244</v>
      </c>
      <c r="Q57" s="8" t="n">
        <v>0.404</v>
      </c>
      <c r="R57" s="6"/>
      <c r="S57" s="6" t="s">
        <v>46</v>
      </c>
      <c r="T57" s="6" t="s">
        <v>57</v>
      </c>
      <c r="U57" s="8" t="n">
        <v>0.37</v>
      </c>
      <c r="V57" s="9" t="s">
        <v>58</v>
      </c>
      <c r="W57" s="6" t="s">
        <v>59</v>
      </c>
    </row>
    <row r="58" customFormat="false" ht="48" hidden="false" customHeight="true" outlineLevel="0" collapsed="false">
      <c r="A58" s="4" t="n">
        <v>157</v>
      </c>
      <c r="B58" s="4" t="s">
        <v>447</v>
      </c>
      <c r="C58" s="5" t="s">
        <v>448</v>
      </c>
      <c r="D58" s="6"/>
      <c r="E58" s="6"/>
      <c r="F58" s="6" t="s">
        <v>449</v>
      </c>
      <c r="G58" s="6" t="s">
        <v>26</v>
      </c>
      <c r="H58" s="7" t="s">
        <v>359</v>
      </c>
      <c r="I58" s="7" t="s">
        <v>142</v>
      </c>
      <c r="J58" s="6" t="s">
        <v>450</v>
      </c>
      <c r="K58" s="6" t="s">
        <v>30</v>
      </c>
      <c r="L58" s="6"/>
      <c r="M58" s="6" t="s">
        <v>451</v>
      </c>
      <c r="N58" s="6" t="s">
        <v>452</v>
      </c>
      <c r="O58" s="6" t="s">
        <v>363</v>
      </c>
      <c r="P58" s="6" t="s">
        <v>422</v>
      </c>
      <c r="Q58" s="8" t="n">
        <v>0.342</v>
      </c>
      <c r="R58" s="6" t="s">
        <v>422</v>
      </c>
      <c r="S58" s="6" t="s">
        <v>35</v>
      </c>
      <c r="T58" s="6" t="s">
        <v>396</v>
      </c>
      <c r="U58" s="8" t="n">
        <v>0.167</v>
      </c>
      <c r="V58" s="10" t="s">
        <v>78</v>
      </c>
      <c r="W58" s="5" t="s">
        <v>453</v>
      </c>
    </row>
    <row r="59" customFormat="false" ht="48" hidden="false" customHeight="true" outlineLevel="0" collapsed="false">
      <c r="A59" s="4" t="n">
        <v>158</v>
      </c>
      <c r="B59" s="4" t="s">
        <v>454</v>
      </c>
      <c r="C59" s="5" t="s">
        <v>455</v>
      </c>
      <c r="D59" s="6"/>
      <c r="E59" s="6"/>
      <c r="F59" s="6" t="s">
        <v>456</v>
      </c>
      <c r="G59" s="6" t="s">
        <v>26</v>
      </c>
      <c r="H59" s="7" t="s">
        <v>359</v>
      </c>
      <c r="I59" s="7" t="s">
        <v>142</v>
      </c>
      <c r="J59" s="6" t="s">
        <v>457</v>
      </c>
      <c r="K59" s="6" t="s">
        <v>52</v>
      </c>
      <c r="L59" s="6"/>
      <c r="M59" s="6" t="s">
        <v>458</v>
      </c>
      <c r="N59" s="6" t="s">
        <v>459</v>
      </c>
      <c r="O59" s="6" t="s">
        <v>380</v>
      </c>
      <c r="P59" s="6" t="s">
        <v>244</v>
      </c>
      <c r="Q59" s="8" t="n">
        <v>0.492</v>
      </c>
      <c r="R59" s="6"/>
      <c r="S59" s="6" t="s">
        <v>35</v>
      </c>
      <c r="T59" s="6" t="s">
        <v>57</v>
      </c>
      <c r="U59" s="8" t="n">
        <v>0.222</v>
      </c>
      <c r="V59" s="6" t="s">
        <v>37</v>
      </c>
      <c r="W59" s="6" t="s">
        <v>38</v>
      </c>
    </row>
    <row r="60" customFormat="false" ht="48" hidden="false" customHeight="true" outlineLevel="0" collapsed="false">
      <c r="A60" s="4" t="n">
        <v>159</v>
      </c>
      <c r="B60" s="4" t="s">
        <v>460</v>
      </c>
      <c r="C60" s="5" t="s">
        <v>461</v>
      </c>
      <c r="D60" s="6"/>
      <c r="E60" s="6"/>
      <c r="F60" s="6" t="s">
        <v>462</v>
      </c>
      <c r="G60" s="6" t="s">
        <v>26</v>
      </c>
      <c r="H60" s="7" t="s">
        <v>359</v>
      </c>
      <c r="I60" s="7" t="s">
        <v>142</v>
      </c>
      <c r="J60" s="6" t="s">
        <v>463</v>
      </c>
      <c r="K60" s="6" t="s">
        <v>64</v>
      </c>
      <c r="L60" s="6"/>
      <c r="M60" s="6" t="s">
        <v>464</v>
      </c>
      <c r="N60" s="6" t="s">
        <v>394</v>
      </c>
      <c r="O60" s="6" t="s">
        <v>395</v>
      </c>
      <c r="P60" s="6" t="s">
        <v>408</v>
      </c>
      <c r="Q60" s="8" t="n">
        <v>0.296</v>
      </c>
      <c r="R60" s="6" t="s">
        <v>408</v>
      </c>
      <c r="S60" s="6" t="s">
        <v>35</v>
      </c>
      <c r="T60" s="6" t="s">
        <v>409</v>
      </c>
      <c r="U60" s="8" t="n">
        <v>0.121</v>
      </c>
      <c r="V60" s="10" t="s">
        <v>78</v>
      </c>
      <c r="W60" s="5" t="s">
        <v>465</v>
      </c>
    </row>
    <row r="61" customFormat="false" ht="48" hidden="false" customHeight="true" outlineLevel="0" collapsed="false">
      <c r="A61" s="4" t="n">
        <v>160</v>
      </c>
      <c r="B61" s="4" t="s">
        <v>466</v>
      </c>
      <c r="C61" s="5" t="s">
        <v>467</v>
      </c>
      <c r="D61" s="6"/>
      <c r="E61" s="6"/>
      <c r="F61" s="6" t="s">
        <v>468</v>
      </c>
      <c r="G61" s="6" t="s">
        <v>26</v>
      </c>
      <c r="H61" s="7" t="s">
        <v>359</v>
      </c>
      <c r="I61" s="7" t="s">
        <v>142</v>
      </c>
      <c r="J61" s="6" t="s">
        <v>469</v>
      </c>
      <c r="K61" s="6" t="s">
        <v>64</v>
      </c>
      <c r="L61" s="6"/>
      <c r="M61" s="6" t="s">
        <v>470</v>
      </c>
      <c r="N61" s="6" t="s">
        <v>372</v>
      </c>
      <c r="O61" s="6" t="s">
        <v>395</v>
      </c>
      <c r="P61" s="6" t="s">
        <v>471</v>
      </c>
      <c r="Q61" s="8" t="n">
        <v>0.207</v>
      </c>
      <c r="R61" s="6"/>
      <c r="S61" s="6" t="s">
        <v>46</v>
      </c>
      <c r="T61" s="6" t="s">
        <v>441</v>
      </c>
      <c r="U61" s="8" t="n">
        <v>0.167</v>
      </c>
      <c r="V61" s="9" t="s">
        <v>58</v>
      </c>
      <c r="W61" s="6" t="s">
        <v>59</v>
      </c>
    </row>
    <row r="62" customFormat="false" ht="48" hidden="false" customHeight="true" outlineLevel="0" collapsed="false">
      <c r="A62" s="4" t="n">
        <v>161</v>
      </c>
      <c r="B62" s="4" t="s">
        <v>472</v>
      </c>
      <c r="C62" s="5" t="s">
        <v>473</v>
      </c>
      <c r="D62" s="6"/>
      <c r="E62" s="6"/>
      <c r="F62" s="6" t="s">
        <v>474</v>
      </c>
      <c r="G62" s="6" t="s">
        <v>26</v>
      </c>
      <c r="H62" s="7" t="s">
        <v>359</v>
      </c>
      <c r="I62" s="7" t="s">
        <v>142</v>
      </c>
      <c r="J62" s="6" t="s">
        <v>475</v>
      </c>
      <c r="K62" s="6" t="s">
        <v>30</v>
      </c>
      <c r="L62" s="6"/>
      <c r="M62" s="6" t="s">
        <v>476</v>
      </c>
      <c r="N62" s="6" t="s">
        <v>477</v>
      </c>
      <c r="O62" s="6" t="s">
        <v>363</v>
      </c>
      <c r="P62" s="6" t="s">
        <v>428</v>
      </c>
      <c r="Q62" s="8" t="n">
        <v>0.375</v>
      </c>
      <c r="R62" s="6" t="s">
        <v>428</v>
      </c>
      <c r="S62" s="6" t="s">
        <v>35</v>
      </c>
      <c r="T62" s="6" t="s">
        <v>416</v>
      </c>
      <c r="U62" s="8" t="n">
        <v>0.167</v>
      </c>
      <c r="V62" s="10" t="s">
        <v>78</v>
      </c>
      <c r="W62" s="5" t="s">
        <v>478</v>
      </c>
    </row>
    <row r="63" customFormat="false" ht="48" hidden="false" customHeight="true" outlineLevel="0" collapsed="false">
      <c r="A63" s="4" t="n">
        <v>162</v>
      </c>
      <c r="B63" s="4" t="s">
        <v>479</v>
      </c>
      <c r="C63" s="5" t="s">
        <v>480</v>
      </c>
      <c r="D63" s="6"/>
      <c r="E63" s="6"/>
      <c r="F63" s="6" t="s">
        <v>481</v>
      </c>
      <c r="G63" s="6" t="s">
        <v>26</v>
      </c>
      <c r="H63" s="7" t="s">
        <v>359</v>
      </c>
      <c r="I63" s="7" t="s">
        <v>142</v>
      </c>
      <c r="J63" s="6" t="s">
        <v>482</v>
      </c>
      <c r="K63" s="6" t="s">
        <v>30</v>
      </c>
      <c r="L63" s="6"/>
      <c r="M63" s="6" t="s">
        <v>483</v>
      </c>
      <c r="N63" s="6" t="s">
        <v>477</v>
      </c>
      <c r="O63" s="6" t="s">
        <v>363</v>
      </c>
      <c r="P63" s="6" t="s">
        <v>428</v>
      </c>
      <c r="Q63" s="8" t="n">
        <v>0.188</v>
      </c>
      <c r="R63" s="6"/>
      <c r="S63" s="6" t="s">
        <v>35</v>
      </c>
      <c r="T63" s="6" t="s">
        <v>69</v>
      </c>
      <c r="U63" s="8" t="n">
        <v>0.189</v>
      </c>
      <c r="V63" s="9" t="s">
        <v>58</v>
      </c>
      <c r="W63" s="6" t="s">
        <v>59</v>
      </c>
    </row>
    <row r="64" customFormat="false" ht="48" hidden="false" customHeight="true" outlineLevel="0" collapsed="false">
      <c r="A64" s="4" t="n">
        <v>163</v>
      </c>
      <c r="B64" s="4" t="s">
        <v>484</v>
      </c>
      <c r="C64" s="5" t="s">
        <v>485</v>
      </c>
      <c r="D64" s="6"/>
      <c r="E64" s="6"/>
      <c r="F64" s="6" t="s">
        <v>486</v>
      </c>
      <c r="G64" s="6" t="s">
        <v>26</v>
      </c>
      <c r="H64" s="7" t="s">
        <v>359</v>
      </c>
      <c r="I64" s="7" t="s">
        <v>142</v>
      </c>
      <c r="J64" s="6" t="s">
        <v>487</v>
      </c>
      <c r="K64" s="6" t="s">
        <v>64</v>
      </c>
      <c r="L64" s="6"/>
      <c r="M64" s="6" t="s">
        <v>488</v>
      </c>
      <c r="N64" s="6" t="s">
        <v>394</v>
      </c>
      <c r="O64" s="6" t="s">
        <v>395</v>
      </c>
      <c r="P64" s="6" t="s">
        <v>251</v>
      </c>
      <c r="Q64" s="8" t="n">
        <v>0.581</v>
      </c>
      <c r="R64" s="6"/>
      <c r="S64" s="6" t="s">
        <v>35</v>
      </c>
      <c r="T64" s="6" t="s">
        <v>231</v>
      </c>
      <c r="U64" s="8" t="n">
        <v>0.155</v>
      </c>
      <c r="V64" s="10" t="s">
        <v>78</v>
      </c>
      <c r="W64" s="6" t="s">
        <v>489</v>
      </c>
    </row>
    <row r="65" customFormat="false" ht="48" hidden="false" customHeight="true" outlineLevel="0" collapsed="false">
      <c r="A65" s="4" t="n">
        <v>164</v>
      </c>
      <c r="B65" s="4" t="s">
        <v>490</v>
      </c>
      <c r="C65" s="5" t="s">
        <v>491</v>
      </c>
      <c r="D65" s="6"/>
      <c r="E65" s="6"/>
      <c r="F65" s="6" t="s">
        <v>492</v>
      </c>
      <c r="G65" s="6" t="s">
        <v>26</v>
      </c>
      <c r="H65" s="7" t="s">
        <v>359</v>
      </c>
      <c r="I65" s="7" t="s">
        <v>142</v>
      </c>
      <c r="J65" s="6" t="s">
        <v>493</v>
      </c>
      <c r="K65" s="6" t="s">
        <v>52</v>
      </c>
      <c r="L65" s="6"/>
      <c r="M65" s="6" t="s">
        <v>494</v>
      </c>
      <c r="N65" s="6" t="s">
        <v>459</v>
      </c>
      <c r="O65" s="6" t="s">
        <v>380</v>
      </c>
      <c r="P65" s="6" t="s">
        <v>381</v>
      </c>
      <c r="Q65" s="8" t="n">
        <v>0.419</v>
      </c>
      <c r="R65" s="6"/>
      <c r="S65" s="6" t="s">
        <v>35</v>
      </c>
      <c r="T65" s="6" t="s">
        <v>382</v>
      </c>
      <c r="U65" s="8" t="n">
        <v>0.277</v>
      </c>
      <c r="V65" s="6" t="s">
        <v>37</v>
      </c>
      <c r="W65" s="6" t="s">
        <v>38</v>
      </c>
    </row>
    <row r="66" customFormat="false" ht="48" hidden="false" customHeight="true" outlineLevel="0" collapsed="false">
      <c r="A66" s="4" t="n">
        <v>165</v>
      </c>
      <c r="B66" s="4" t="s">
        <v>495</v>
      </c>
      <c r="C66" s="6" t="s">
        <v>496</v>
      </c>
      <c r="D66" s="6"/>
      <c r="E66" s="6"/>
      <c r="F66" s="6" t="s">
        <v>497</v>
      </c>
      <c r="G66" s="6" t="s">
        <v>26</v>
      </c>
      <c r="H66" s="7" t="s">
        <v>359</v>
      </c>
      <c r="I66" s="7" t="s">
        <v>142</v>
      </c>
      <c r="J66" s="6" t="s">
        <v>498</v>
      </c>
      <c r="K66" s="6" t="s">
        <v>30</v>
      </c>
      <c r="L66" s="6"/>
      <c r="M66" s="6" t="s">
        <v>499</v>
      </c>
      <c r="N66" s="6" t="s">
        <v>452</v>
      </c>
      <c r="O66" s="6" t="s">
        <v>363</v>
      </c>
      <c r="P66" s="6" t="s">
        <v>500</v>
      </c>
      <c r="Q66" s="8" t="n">
        <v>0.356</v>
      </c>
      <c r="R66" s="6"/>
      <c r="S66" s="6" t="s">
        <v>35</v>
      </c>
      <c r="T66" s="6" t="s">
        <v>231</v>
      </c>
      <c r="U66" s="8" t="n">
        <v>0.265</v>
      </c>
      <c r="V66" s="6" t="s">
        <v>37</v>
      </c>
      <c r="W66" s="6" t="s">
        <v>38</v>
      </c>
    </row>
    <row r="67" customFormat="false" ht="48" hidden="false" customHeight="true" outlineLevel="0" collapsed="false">
      <c r="A67" s="4" t="n">
        <v>166</v>
      </c>
      <c r="B67" s="4" t="s">
        <v>501</v>
      </c>
      <c r="C67" s="5" t="s">
        <v>502</v>
      </c>
      <c r="D67" s="6"/>
      <c r="E67" s="6"/>
      <c r="F67" s="6" t="s">
        <v>503</v>
      </c>
      <c r="G67" s="6" t="s">
        <v>26</v>
      </c>
      <c r="H67" s="7" t="s">
        <v>359</v>
      </c>
      <c r="I67" s="7" t="s">
        <v>142</v>
      </c>
      <c r="J67" s="6" t="s">
        <v>504</v>
      </c>
      <c r="K67" s="6" t="s">
        <v>52</v>
      </c>
      <c r="L67" s="6"/>
      <c r="M67" s="6" t="s">
        <v>505</v>
      </c>
      <c r="N67" s="6" t="s">
        <v>459</v>
      </c>
      <c r="O67" s="6" t="s">
        <v>380</v>
      </c>
      <c r="P67" s="6" t="s">
        <v>56</v>
      </c>
      <c r="Q67" s="8" t="n">
        <v>0.317</v>
      </c>
      <c r="R67" s="6"/>
      <c r="S67" s="6" t="s">
        <v>35</v>
      </c>
      <c r="T67" s="6" t="s">
        <v>57</v>
      </c>
      <c r="U67" s="8" t="n">
        <v>0.235</v>
      </c>
      <c r="V67" s="6" t="s">
        <v>37</v>
      </c>
      <c r="W67" s="6" t="s">
        <v>38</v>
      </c>
    </row>
    <row r="68" customFormat="false" ht="48" hidden="false" customHeight="true" outlineLevel="0" collapsed="false">
      <c r="A68" s="4" t="n">
        <v>167</v>
      </c>
      <c r="B68" s="4" t="s">
        <v>506</v>
      </c>
      <c r="C68" s="6" t="s">
        <v>507</v>
      </c>
      <c r="D68" s="6"/>
      <c r="E68" s="6"/>
      <c r="F68" s="6" t="s">
        <v>508</v>
      </c>
      <c r="G68" s="6" t="s">
        <v>26</v>
      </c>
      <c r="H68" s="7" t="s">
        <v>359</v>
      </c>
      <c r="I68" s="7" t="s">
        <v>142</v>
      </c>
      <c r="J68" s="6" t="s">
        <v>509</v>
      </c>
      <c r="K68" s="6" t="s">
        <v>43</v>
      </c>
      <c r="L68" s="6"/>
      <c r="M68" s="6" t="s">
        <v>510</v>
      </c>
      <c r="N68" s="6" t="s">
        <v>394</v>
      </c>
      <c r="O68" s="6" t="s">
        <v>363</v>
      </c>
      <c r="P68" s="6" t="s">
        <v>415</v>
      </c>
      <c r="Q68" s="8" t="n">
        <v>0.294</v>
      </c>
      <c r="R68" s="6"/>
      <c r="S68" s="6" t="s">
        <v>35</v>
      </c>
      <c r="T68" s="6" t="s">
        <v>511</v>
      </c>
      <c r="U68" s="8" t="n">
        <v>0.104</v>
      </c>
      <c r="V68" s="6" t="s">
        <v>37</v>
      </c>
      <c r="W68" s="6" t="s">
        <v>38</v>
      </c>
    </row>
    <row r="69" customFormat="false" ht="48" hidden="false" customHeight="true" outlineLevel="0" collapsed="false">
      <c r="A69" s="4" t="n">
        <v>168</v>
      </c>
      <c r="B69" s="4" t="s">
        <v>512</v>
      </c>
      <c r="C69" s="5" t="s">
        <v>513</v>
      </c>
      <c r="D69" s="6"/>
      <c r="E69" s="6"/>
      <c r="F69" s="6" t="s">
        <v>514</v>
      </c>
      <c r="G69" s="6" t="s">
        <v>26</v>
      </c>
      <c r="H69" s="7" t="s">
        <v>359</v>
      </c>
      <c r="I69" s="7" t="s">
        <v>142</v>
      </c>
      <c r="J69" s="6" t="s">
        <v>515</v>
      </c>
      <c r="K69" s="6" t="s">
        <v>30</v>
      </c>
      <c r="L69" s="6"/>
      <c r="M69" s="6" t="s">
        <v>516</v>
      </c>
      <c r="N69" s="6" t="s">
        <v>452</v>
      </c>
      <c r="O69" s="6" t="s">
        <v>363</v>
      </c>
      <c r="P69" s="6" t="s">
        <v>156</v>
      </c>
      <c r="Q69" s="8" t="n">
        <v>0.28</v>
      </c>
      <c r="R69" s="6"/>
      <c r="S69" s="6" t="s">
        <v>35</v>
      </c>
      <c r="T69" s="6" t="s">
        <v>157</v>
      </c>
      <c r="U69" s="8" t="n">
        <v>0.261</v>
      </c>
      <c r="V69" s="6" t="s">
        <v>37</v>
      </c>
      <c r="W69" s="6" t="s">
        <v>38</v>
      </c>
    </row>
    <row r="70" customFormat="false" ht="48" hidden="false" customHeight="true" outlineLevel="0" collapsed="false">
      <c r="A70" s="4" t="n">
        <v>169</v>
      </c>
      <c r="B70" s="4" t="s">
        <v>517</v>
      </c>
      <c r="C70" s="5" t="s">
        <v>518</v>
      </c>
      <c r="D70" s="6"/>
      <c r="E70" s="6"/>
      <c r="F70" s="6" t="s">
        <v>519</v>
      </c>
      <c r="G70" s="6" t="s">
        <v>26</v>
      </c>
      <c r="H70" s="7" t="s">
        <v>359</v>
      </c>
      <c r="I70" s="7" t="s">
        <v>142</v>
      </c>
      <c r="J70" s="6" t="s">
        <v>520</v>
      </c>
      <c r="K70" s="6" t="s">
        <v>43</v>
      </c>
      <c r="L70" s="6"/>
      <c r="M70" s="6" t="s">
        <v>521</v>
      </c>
      <c r="N70" s="6" t="s">
        <v>394</v>
      </c>
      <c r="O70" s="6" t="s">
        <v>363</v>
      </c>
      <c r="P70" s="6" t="s">
        <v>187</v>
      </c>
      <c r="Q70" s="8" t="n">
        <v>0.273</v>
      </c>
      <c r="R70" s="6"/>
      <c r="S70" s="6" t="s">
        <v>35</v>
      </c>
      <c r="T70" s="6" t="s">
        <v>197</v>
      </c>
      <c r="U70" s="8" t="n">
        <v>0.125</v>
      </c>
      <c r="V70" s="6" t="s">
        <v>37</v>
      </c>
      <c r="W70" s="6" t="s">
        <v>38</v>
      </c>
    </row>
    <row r="71" customFormat="false" ht="48" hidden="false" customHeight="true" outlineLevel="0" collapsed="false">
      <c r="A71" s="4" t="n">
        <v>170</v>
      </c>
      <c r="B71" s="4" t="s">
        <v>522</v>
      </c>
      <c r="C71" s="6" t="s">
        <v>523</v>
      </c>
      <c r="D71" s="6"/>
      <c r="E71" s="6"/>
      <c r="F71" s="6" t="s">
        <v>524</v>
      </c>
      <c r="G71" s="6" t="s">
        <v>26</v>
      </c>
      <c r="H71" s="7" t="s">
        <v>359</v>
      </c>
      <c r="I71" s="7" t="s">
        <v>142</v>
      </c>
      <c r="J71" s="6" t="s">
        <v>525</v>
      </c>
      <c r="K71" s="6" t="s">
        <v>52</v>
      </c>
      <c r="L71" s="6"/>
      <c r="M71" s="6" t="s">
        <v>526</v>
      </c>
      <c r="N71" s="6" t="s">
        <v>459</v>
      </c>
      <c r="O71" s="6" t="s">
        <v>380</v>
      </c>
      <c r="P71" s="6" t="s">
        <v>471</v>
      </c>
      <c r="Q71" s="8" t="n">
        <v>0.426</v>
      </c>
      <c r="R71" s="6"/>
      <c r="S71" s="6" t="s">
        <v>35</v>
      </c>
      <c r="T71" s="6" t="s">
        <v>231</v>
      </c>
      <c r="U71" s="8" t="n">
        <v>0.185</v>
      </c>
      <c r="V71" s="6" t="s">
        <v>37</v>
      </c>
      <c r="W71" s="6" t="s">
        <v>38</v>
      </c>
    </row>
    <row r="72" customFormat="false" ht="48" hidden="false" customHeight="true" outlineLevel="0" collapsed="false">
      <c r="A72" s="4" t="n">
        <v>171</v>
      </c>
      <c r="B72" s="4" t="s">
        <v>527</v>
      </c>
      <c r="C72" s="5" t="s">
        <v>528</v>
      </c>
      <c r="D72" s="6"/>
      <c r="E72" s="6"/>
      <c r="F72" s="6" t="s">
        <v>529</v>
      </c>
      <c r="G72" s="6" t="s">
        <v>26</v>
      </c>
      <c r="H72" s="7" t="s">
        <v>359</v>
      </c>
      <c r="I72" s="7" t="s">
        <v>142</v>
      </c>
      <c r="J72" s="6" t="s">
        <v>530</v>
      </c>
      <c r="K72" s="6" t="s">
        <v>30</v>
      </c>
      <c r="L72" s="6"/>
      <c r="M72" s="6" t="s">
        <v>531</v>
      </c>
      <c r="N72" s="6" t="s">
        <v>477</v>
      </c>
      <c r="O72" s="6" t="s">
        <v>363</v>
      </c>
      <c r="P72" s="6" t="s">
        <v>187</v>
      </c>
      <c r="Q72" s="8" t="n">
        <v>0.138</v>
      </c>
      <c r="R72" s="6"/>
      <c r="S72" s="6" t="s">
        <v>35</v>
      </c>
      <c r="T72" s="6" t="s">
        <v>188</v>
      </c>
      <c r="U72" s="8" t="n">
        <v>0.125</v>
      </c>
      <c r="V72" s="9" t="s">
        <v>58</v>
      </c>
      <c r="W72" s="6" t="s">
        <v>59</v>
      </c>
    </row>
    <row r="73" customFormat="false" ht="48" hidden="false" customHeight="true" outlineLevel="0" collapsed="false">
      <c r="A73" s="4" t="n">
        <v>172</v>
      </c>
      <c r="B73" s="4" t="s">
        <v>532</v>
      </c>
      <c r="C73" s="6" t="s">
        <v>533</v>
      </c>
      <c r="D73" s="6"/>
      <c r="E73" s="6"/>
      <c r="F73" s="6" t="s">
        <v>534</v>
      </c>
      <c r="G73" s="6" t="s">
        <v>26</v>
      </c>
      <c r="H73" s="7" t="s">
        <v>359</v>
      </c>
      <c r="I73" s="7" t="s">
        <v>142</v>
      </c>
      <c r="J73" s="6" t="s">
        <v>535</v>
      </c>
      <c r="K73" s="6" t="s">
        <v>30</v>
      </c>
      <c r="L73" s="6"/>
      <c r="M73" s="6" t="s">
        <v>536</v>
      </c>
      <c r="N73" s="6" t="s">
        <v>477</v>
      </c>
      <c r="O73" s="6" t="s">
        <v>363</v>
      </c>
      <c r="P73" s="6" t="s">
        <v>500</v>
      </c>
      <c r="Q73" s="8" t="n">
        <v>0.132</v>
      </c>
      <c r="R73" s="6"/>
      <c r="S73" s="6" t="s">
        <v>35</v>
      </c>
      <c r="T73" s="6" t="s">
        <v>537</v>
      </c>
      <c r="U73" s="8" t="n">
        <v>0.145</v>
      </c>
      <c r="V73" s="9" t="s">
        <v>58</v>
      </c>
      <c r="W73" s="6" t="s">
        <v>59</v>
      </c>
    </row>
    <row r="74" customFormat="false" ht="48" hidden="false" customHeight="true" outlineLevel="0" collapsed="false">
      <c r="A74" s="4" t="n">
        <v>173</v>
      </c>
      <c r="B74" s="4" t="s">
        <v>538</v>
      </c>
      <c r="C74" s="5" t="s">
        <v>539</v>
      </c>
      <c r="D74" s="6"/>
      <c r="E74" s="6"/>
      <c r="F74" s="6" t="s">
        <v>540</v>
      </c>
      <c r="G74" s="6" t="s">
        <v>26</v>
      </c>
      <c r="H74" s="7" t="s">
        <v>359</v>
      </c>
      <c r="I74" s="7" t="s">
        <v>142</v>
      </c>
      <c r="J74" s="6" t="s">
        <v>541</v>
      </c>
      <c r="K74" s="6" t="s">
        <v>52</v>
      </c>
      <c r="L74" s="6"/>
      <c r="M74" s="6" t="s">
        <v>542</v>
      </c>
      <c r="N74" s="6" t="s">
        <v>459</v>
      </c>
      <c r="O74" s="6" t="s">
        <v>380</v>
      </c>
      <c r="P74" s="6" t="s">
        <v>471</v>
      </c>
      <c r="Q74" s="8" t="n">
        <v>0.345</v>
      </c>
      <c r="R74" s="6"/>
      <c r="S74" s="6" t="s">
        <v>35</v>
      </c>
      <c r="T74" s="6" t="s">
        <v>543</v>
      </c>
      <c r="U74" s="8" t="n">
        <v>0.304</v>
      </c>
      <c r="V74" s="6" t="s">
        <v>37</v>
      </c>
      <c r="W74" s="6" t="s">
        <v>38</v>
      </c>
    </row>
    <row r="75" customFormat="false" ht="48" hidden="false" customHeight="true" outlineLevel="0" collapsed="false">
      <c r="A75" s="4" t="n">
        <v>174</v>
      </c>
      <c r="B75" s="4" t="s">
        <v>544</v>
      </c>
      <c r="C75" s="5" t="s">
        <v>545</v>
      </c>
      <c r="D75" s="6"/>
      <c r="E75" s="6"/>
      <c r="F75" s="6" t="s">
        <v>546</v>
      </c>
      <c r="G75" s="6" t="s">
        <v>26</v>
      </c>
      <c r="H75" s="7" t="s">
        <v>359</v>
      </c>
      <c r="I75" s="7" t="s">
        <v>267</v>
      </c>
      <c r="J75" s="6" t="s">
        <v>547</v>
      </c>
      <c r="K75" s="6" t="s">
        <v>64</v>
      </c>
      <c r="L75" s="6"/>
      <c r="M75" s="6" t="s">
        <v>548</v>
      </c>
      <c r="N75" s="6" t="s">
        <v>394</v>
      </c>
      <c r="O75" s="6" t="s">
        <v>395</v>
      </c>
      <c r="P75" s="6" t="s">
        <v>251</v>
      </c>
      <c r="Q75" s="8" t="n">
        <v>0.39</v>
      </c>
      <c r="R75" s="6"/>
      <c r="S75" s="6" t="s">
        <v>35</v>
      </c>
      <c r="T75" s="6" t="s">
        <v>231</v>
      </c>
      <c r="U75" s="8" t="n">
        <v>0.217</v>
      </c>
      <c r="V75" s="6" t="s">
        <v>37</v>
      </c>
      <c r="W75" s="6" t="s">
        <v>38</v>
      </c>
    </row>
    <row r="76" customFormat="false" ht="48" hidden="false" customHeight="true" outlineLevel="0" collapsed="false">
      <c r="A76" s="4" t="n">
        <v>175</v>
      </c>
      <c r="B76" s="4" t="s">
        <v>549</v>
      </c>
      <c r="C76" s="5" t="s">
        <v>550</v>
      </c>
      <c r="D76" s="6"/>
      <c r="E76" s="6"/>
      <c r="F76" s="6" t="s">
        <v>551</v>
      </c>
      <c r="G76" s="6" t="s">
        <v>26</v>
      </c>
      <c r="H76" s="7" t="s">
        <v>359</v>
      </c>
      <c r="I76" s="7" t="s">
        <v>267</v>
      </c>
      <c r="J76" s="6" t="s">
        <v>552</v>
      </c>
      <c r="K76" s="6" t="s">
        <v>64</v>
      </c>
      <c r="L76" s="6"/>
      <c r="M76" s="6" t="s">
        <v>553</v>
      </c>
      <c r="N76" s="6" t="s">
        <v>394</v>
      </c>
      <c r="O76" s="6" t="s">
        <v>395</v>
      </c>
      <c r="P76" s="6" t="s">
        <v>251</v>
      </c>
      <c r="Q76" s="8" t="n">
        <v>0.511</v>
      </c>
      <c r="R76" s="6"/>
      <c r="S76" s="6" t="s">
        <v>35</v>
      </c>
      <c r="T76" s="6" t="s">
        <v>402</v>
      </c>
      <c r="U76" s="8" t="n">
        <v>0.133</v>
      </c>
      <c r="V76" s="10" t="s">
        <v>78</v>
      </c>
      <c r="W76" s="6" t="s">
        <v>554</v>
      </c>
    </row>
    <row r="77" customFormat="false" ht="48" hidden="false" customHeight="true" outlineLevel="0" collapsed="false">
      <c r="A77" s="4" t="n">
        <v>176</v>
      </c>
      <c r="B77" s="4" t="s">
        <v>555</v>
      </c>
      <c r="C77" s="5" t="s">
        <v>556</v>
      </c>
      <c r="D77" s="6"/>
      <c r="E77" s="6"/>
      <c r="F77" s="6" t="s">
        <v>557</v>
      </c>
      <c r="G77" s="6" t="s">
        <v>26</v>
      </c>
      <c r="H77" s="7" t="s">
        <v>359</v>
      </c>
      <c r="I77" s="7" t="s">
        <v>267</v>
      </c>
      <c r="J77" s="6" t="s">
        <v>558</v>
      </c>
      <c r="K77" s="6" t="s">
        <v>64</v>
      </c>
      <c r="L77" s="6"/>
      <c r="M77" s="6" t="s">
        <v>559</v>
      </c>
      <c r="N77" s="6" t="s">
        <v>372</v>
      </c>
      <c r="O77" s="6" t="s">
        <v>395</v>
      </c>
      <c r="P77" s="6" t="s">
        <v>237</v>
      </c>
      <c r="Q77" s="8" t="n">
        <v>0.212</v>
      </c>
      <c r="R77" s="6"/>
      <c r="S77" s="6" t="s">
        <v>46</v>
      </c>
      <c r="T77" s="6" t="s">
        <v>560</v>
      </c>
      <c r="U77" s="8" t="n">
        <v>0.204</v>
      </c>
      <c r="V77" s="9" t="s">
        <v>58</v>
      </c>
      <c r="W77" s="6" t="s">
        <v>59</v>
      </c>
    </row>
    <row r="78" customFormat="false" ht="48" hidden="false" customHeight="true" outlineLevel="0" collapsed="false">
      <c r="A78" s="4" t="n">
        <v>177</v>
      </c>
      <c r="B78" s="4" t="s">
        <v>561</v>
      </c>
      <c r="C78" s="5" t="s">
        <v>562</v>
      </c>
      <c r="D78" s="6"/>
      <c r="E78" s="6"/>
      <c r="F78" s="6" t="s">
        <v>563</v>
      </c>
      <c r="G78" s="6" t="s">
        <v>26</v>
      </c>
      <c r="H78" s="7" t="s">
        <v>359</v>
      </c>
      <c r="I78" s="7" t="s">
        <v>267</v>
      </c>
      <c r="J78" s="6" t="s">
        <v>564</v>
      </c>
      <c r="K78" s="6" t="s">
        <v>64</v>
      </c>
      <c r="L78" s="6"/>
      <c r="M78" s="6" t="s">
        <v>565</v>
      </c>
      <c r="N78" s="6" t="s">
        <v>394</v>
      </c>
      <c r="O78" s="6" t="s">
        <v>395</v>
      </c>
      <c r="P78" s="6" t="s">
        <v>251</v>
      </c>
      <c r="Q78" s="8" t="n">
        <v>0.312</v>
      </c>
      <c r="R78" s="6"/>
      <c r="S78" s="6" t="s">
        <v>35</v>
      </c>
      <c r="T78" s="6" t="s">
        <v>180</v>
      </c>
      <c r="U78" s="8" t="n">
        <v>0.109</v>
      </c>
      <c r="V78" s="6" t="s">
        <v>37</v>
      </c>
      <c r="W78" s="6" t="s">
        <v>38</v>
      </c>
    </row>
    <row r="79" customFormat="false" ht="48" hidden="false" customHeight="true" outlineLevel="0" collapsed="false">
      <c r="A79" s="4" t="n">
        <v>178</v>
      </c>
      <c r="B79" s="4" t="s">
        <v>566</v>
      </c>
      <c r="C79" s="6" t="s">
        <v>567</v>
      </c>
      <c r="D79" s="6"/>
      <c r="E79" s="6"/>
      <c r="F79" s="6" t="s">
        <v>568</v>
      </c>
      <c r="G79" s="6" t="s">
        <v>26</v>
      </c>
      <c r="H79" s="7" t="s">
        <v>359</v>
      </c>
      <c r="I79" s="7" t="s">
        <v>267</v>
      </c>
      <c r="J79" s="6" t="s">
        <v>569</v>
      </c>
      <c r="K79" s="6" t="s">
        <v>52</v>
      </c>
      <c r="L79" s="6"/>
      <c r="M79" s="6" t="s">
        <v>570</v>
      </c>
      <c r="N79" s="6" t="s">
        <v>459</v>
      </c>
      <c r="O79" s="6" t="s">
        <v>380</v>
      </c>
      <c r="P79" s="6" t="s">
        <v>244</v>
      </c>
      <c r="Q79" s="8" t="n">
        <v>0.596</v>
      </c>
      <c r="R79" s="6"/>
      <c r="S79" s="6" t="s">
        <v>35</v>
      </c>
      <c r="T79" s="6" t="s">
        <v>57</v>
      </c>
      <c r="U79" s="8" t="n">
        <v>0.222</v>
      </c>
      <c r="V79" s="10" t="s">
        <v>78</v>
      </c>
      <c r="W79" s="6" t="s">
        <v>571</v>
      </c>
    </row>
    <row r="80" customFormat="false" ht="48" hidden="false" customHeight="true" outlineLevel="0" collapsed="false">
      <c r="A80" s="4" t="n">
        <v>179</v>
      </c>
      <c r="B80" s="4" t="s">
        <v>572</v>
      </c>
      <c r="C80" s="6" t="s">
        <v>573</v>
      </c>
      <c r="D80" s="6"/>
      <c r="E80" s="6"/>
      <c r="F80" s="6" t="s">
        <v>574</v>
      </c>
      <c r="G80" s="6" t="s">
        <v>26</v>
      </c>
      <c r="H80" s="7" t="s">
        <v>359</v>
      </c>
      <c r="I80" s="7" t="s">
        <v>267</v>
      </c>
      <c r="J80" s="6" t="s">
        <v>575</v>
      </c>
      <c r="K80" s="6" t="s">
        <v>52</v>
      </c>
      <c r="L80" s="6"/>
      <c r="M80" s="6" t="s">
        <v>576</v>
      </c>
      <c r="N80" s="6" t="s">
        <v>459</v>
      </c>
      <c r="O80" s="6" t="s">
        <v>380</v>
      </c>
      <c r="P80" s="6" t="s">
        <v>471</v>
      </c>
      <c r="Q80" s="8" t="n">
        <v>0.362</v>
      </c>
      <c r="R80" s="6"/>
      <c r="S80" s="6" t="s">
        <v>35</v>
      </c>
      <c r="T80" s="6" t="s">
        <v>382</v>
      </c>
      <c r="U80" s="8" t="n">
        <v>0.25</v>
      </c>
      <c r="V80" s="6" t="s">
        <v>37</v>
      </c>
      <c r="W80" s="6" t="s">
        <v>38</v>
      </c>
    </row>
    <row r="81" customFormat="false" ht="48" hidden="false" customHeight="true" outlineLevel="0" collapsed="false">
      <c r="A81" s="4" t="n">
        <v>180</v>
      </c>
      <c r="B81" s="4" t="s">
        <v>577</v>
      </c>
      <c r="C81" s="6" t="s">
        <v>578</v>
      </c>
      <c r="D81" s="6"/>
      <c r="E81" s="6"/>
      <c r="F81" s="6" t="s">
        <v>579</v>
      </c>
      <c r="G81" s="6" t="s">
        <v>26</v>
      </c>
      <c r="H81" s="7" t="s">
        <v>359</v>
      </c>
      <c r="I81" s="7" t="s">
        <v>267</v>
      </c>
      <c r="J81" s="6" t="s">
        <v>580</v>
      </c>
      <c r="K81" s="6" t="s">
        <v>30</v>
      </c>
      <c r="L81" s="6"/>
      <c r="M81" s="6" t="s">
        <v>581</v>
      </c>
      <c r="N81" s="6" t="s">
        <v>452</v>
      </c>
      <c r="O81" s="6" t="s">
        <v>363</v>
      </c>
      <c r="P81" s="6" t="s">
        <v>582</v>
      </c>
      <c r="Q81" s="8" t="n">
        <v>0.314</v>
      </c>
      <c r="R81" s="6"/>
      <c r="S81" s="6" t="s">
        <v>35</v>
      </c>
      <c r="T81" s="6" t="s">
        <v>416</v>
      </c>
      <c r="U81" s="8" t="n">
        <v>0.151</v>
      </c>
      <c r="V81" s="6" t="s">
        <v>37</v>
      </c>
      <c r="W81" s="6" t="s">
        <v>38</v>
      </c>
    </row>
    <row r="82" customFormat="false" ht="48" hidden="false" customHeight="true" outlineLevel="0" collapsed="false">
      <c r="A82" s="4" t="n">
        <v>181</v>
      </c>
      <c r="B82" s="4" t="s">
        <v>583</v>
      </c>
      <c r="C82" s="6" t="s">
        <v>584</v>
      </c>
      <c r="D82" s="6"/>
      <c r="E82" s="6"/>
      <c r="F82" s="6" t="s">
        <v>585</v>
      </c>
      <c r="G82" s="6" t="s">
        <v>26</v>
      </c>
      <c r="H82" s="7" t="s">
        <v>359</v>
      </c>
      <c r="I82" s="7" t="s">
        <v>267</v>
      </c>
      <c r="J82" s="6" t="s">
        <v>586</v>
      </c>
      <c r="K82" s="6" t="s">
        <v>30</v>
      </c>
      <c r="L82" s="6"/>
      <c r="M82" s="6" t="s">
        <v>587</v>
      </c>
      <c r="N82" s="6" t="s">
        <v>452</v>
      </c>
      <c r="O82" s="6" t="s">
        <v>363</v>
      </c>
      <c r="P82" s="6" t="s">
        <v>331</v>
      </c>
      <c r="Q82" s="8" t="n">
        <v>0.333</v>
      </c>
      <c r="R82" s="6"/>
      <c r="S82" s="6" t="s">
        <v>35</v>
      </c>
      <c r="T82" s="6" t="s">
        <v>231</v>
      </c>
      <c r="U82" s="8" t="n">
        <v>0.158</v>
      </c>
      <c r="V82" s="6" t="s">
        <v>37</v>
      </c>
      <c r="W82" s="6" t="s">
        <v>38</v>
      </c>
    </row>
    <row r="83" customFormat="false" ht="48" hidden="false" customHeight="true" outlineLevel="0" collapsed="false">
      <c r="A83" s="4" t="n">
        <v>182</v>
      </c>
      <c r="B83" s="4" t="s">
        <v>588</v>
      </c>
      <c r="C83" s="5" t="s">
        <v>589</v>
      </c>
      <c r="D83" s="6"/>
      <c r="E83" s="6"/>
      <c r="F83" s="6" t="s">
        <v>590</v>
      </c>
      <c r="G83" s="6" t="s">
        <v>26</v>
      </c>
      <c r="H83" s="7" t="s">
        <v>359</v>
      </c>
      <c r="I83" s="7" t="s">
        <v>267</v>
      </c>
      <c r="J83" s="6" t="s">
        <v>591</v>
      </c>
      <c r="K83" s="6" t="s">
        <v>30</v>
      </c>
      <c r="L83" s="6"/>
      <c r="M83" s="6" t="s">
        <v>592</v>
      </c>
      <c r="N83" s="6" t="s">
        <v>452</v>
      </c>
      <c r="O83" s="6" t="s">
        <v>363</v>
      </c>
      <c r="P83" s="6" t="s">
        <v>593</v>
      </c>
      <c r="Q83" s="8" t="n">
        <v>0.5</v>
      </c>
      <c r="R83" s="6"/>
      <c r="S83" s="6" t="s">
        <v>35</v>
      </c>
      <c r="T83" s="6" t="s">
        <v>231</v>
      </c>
      <c r="U83" s="8" t="n">
        <v>0.149</v>
      </c>
      <c r="V83" s="10" t="s">
        <v>78</v>
      </c>
      <c r="W83" s="6" t="s">
        <v>594</v>
      </c>
    </row>
    <row r="84" customFormat="false" ht="48" hidden="false" customHeight="true" outlineLevel="0" collapsed="false">
      <c r="A84" s="4" t="n">
        <v>183</v>
      </c>
      <c r="B84" s="4" t="s">
        <v>595</v>
      </c>
      <c r="C84" s="5" t="s">
        <v>596</v>
      </c>
      <c r="D84" s="6"/>
      <c r="E84" s="6"/>
      <c r="F84" s="6" t="s">
        <v>597</v>
      </c>
      <c r="G84" s="6" t="s">
        <v>26</v>
      </c>
      <c r="H84" s="7" t="s">
        <v>359</v>
      </c>
      <c r="I84" s="7" t="s">
        <v>267</v>
      </c>
      <c r="J84" s="6" t="s">
        <v>598</v>
      </c>
      <c r="K84" s="6" t="s">
        <v>64</v>
      </c>
      <c r="L84" s="6"/>
      <c r="M84" s="6" t="s">
        <v>599</v>
      </c>
      <c r="N84" s="6" t="s">
        <v>394</v>
      </c>
      <c r="O84" s="6" t="s">
        <v>395</v>
      </c>
      <c r="P84" s="6" t="s">
        <v>156</v>
      </c>
      <c r="Q84" s="8" t="n">
        <v>0.211</v>
      </c>
      <c r="R84" s="6"/>
      <c r="S84" s="6" t="s">
        <v>35</v>
      </c>
      <c r="T84" s="6" t="s">
        <v>157</v>
      </c>
      <c r="U84" s="8" t="n">
        <v>0.235</v>
      </c>
      <c r="V84" s="6" t="s">
        <v>37</v>
      </c>
      <c r="W84" s="6" t="s">
        <v>38</v>
      </c>
    </row>
    <row r="85" customFormat="false" ht="48" hidden="false" customHeight="true" outlineLevel="0" collapsed="false">
      <c r="A85" s="4" t="n">
        <v>184</v>
      </c>
      <c r="B85" s="4" t="s">
        <v>600</v>
      </c>
      <c r="C85" s="5" t="s">
        <v>601</v>
      </c>
      <c r="D85" s="6"/>
      <c r="E85" s="6"/>
      <c r="F85" s="6" t="s">
        <v>602</v>
      </c>
      <c r="G85" s="6" t="s">
        <v>26</v>
      </c>
      <c r="H85" s="7" t="s">
        <v>359</v>
      </c>
      <c r="I85" s="7" t="s">
        <v>267</v>
      </c>
      <c r="J85" s="6" t="s">
        <v>603</v>
      </c>
      <c r="K85" s="6" t="s">
        <v>52</v>
      </c>
      <c r="L85" s="6"/>
      <c r="M85" s="6" t="s">
        <v>604</v>
      </c>
      <c r="N85" s="6" t="s">
        <v>459</v>
      </c>
      <c r="O85" s="6" t="s">
        <v>380</v>
      </c>
      <c r="P85" s="6" t="s">
        <v>310</v>
      </c>
      <c r="Q85" s="8" t="n">
        <v>0.246</v>
      </c>
      <c r="R85" s="6"/>
      <c r="S85" s="6" t="s">
        <v>35</v>
      </c>
      <c r="T85" s="6" t="s">
        <v>435</v>
      </c>
      <c r="U85" s="8" t="n">
        <v>0.262</v>
      </c>
      <c r="V85" s="6" t="s">
        <v>37</v>
      </c>
      <c r="W85" s="6" t="s">
        <v>38</v>
      </c>
    </row>
    <row r="86" customFormat="false" ht="48" hidden="false" customHeight="true" outlineLevel="0" collapsed="false">
      <c r="A86" s="4" t="n">
        <v>185</v>
      </c>
      <c r="B86" s="4" t="s">
        <v>605</v>
      </c>
      <c r="C86" s="5" t="s">
        <v>606</v>
      </c>
      <c r="D86" s="6"/>
      <c r="E86" s="6"/>
      <c r="F86" s="6" t="s">
        <v>607</v>
      </c>
      <c r="G86" s="6" t="s">
        <v>26</v>
      </c>
      <c r="H86" s="7" t="s">
        <v>359</v>
      </c>
      <c r="I86" s="7" t="s">
        <v>267</v>
      </c>
      <c r="J86" s="6" t="s">
        <v>608</v>
      </c>
      <c r="K86" s="6" t="s">
        <v>30</v>
      </c>
      <c r="L86" s="6"/>
      <c r="M86" s="6" t="s">
        <v>609</v>
      </c>
      <c r="N86" s="6" t="s">
        <v>452</v>
      </c>
      <c r="O86" s="6" t="s">
        <v>363</v>
      </c>
      <c r="P86" s="6" t="s">
        <v>593</v>
      </c>
      <c r="Q86" s="8" t="n">
        <v>0.25</v>
      </c>
      <c r="R86" s="6"/>
      <c r="S86" s="6" t="s">
        <v>35</v>
      </c>
      <c r="T86" s="6" t="s">
        <v>610</v>
      </c>
      <c r="U86" s="8" t="n">
        <v>0.113</v>
      </c>
      <c r="V86" s="6" t="s">
        <v>37</v>
      </c>
      <c r="W86" s="6" t="s">
        <v>38</v>
      </c>
    </row>
    <row r="87" customFormat="false" ht="48" hidden="false" customHeight="true" outlineLevel="0" collapsed="false">
      <c r="A87" s="4" t="n">
        <v>186</v>
      </c>
      <c r="B87" s="4" t="s">
        <v>611</v>
      </c>
      <c r="C87" s="6" t="s">
        <v>612</v>
      </c>
      <c r="D87" s="6"/>
      <c r="E87" s="6"/>
      <c r="F87" s="6" t="s">
        <v>613</v>
      </c>
      <c r="G87" s="6" t="s">
        <v>26</v>
      </c>
      <c r="H87" s="7" t="s">
        <v>359</v>
      </c>
      <c r="I87" s="7" t="s">
        <v>267</v>
      </c>
      <c r="J87" s="6" t="s">
        <v>614</v>
      </c>
      <c r="K87" s="6" t="s">
        <v>30</v>
      </c>
      <c r="L87" s="6"/>
      <c r="M87" s="6" t="s">
        <v>615</v>
      </c>
      <c r="N87" s="6" t="s">
        <v>452</v>
      </c>
      <c r="O87" s="6" t="s">
        <v>363</v>
      </c>
      <c r="P87" s="6" t="s">
        <v>593</v>
      </c>
      <c r="Q87" s="8" t="n">
        <v>0.308</v>
      </c>
      <c r="R87" s="6"/>
      <c r="S87" s="6" t="s">
        <v>35</v>
      </c>
      <c r="T87" s="6" t="s">
        <v>231</v>
      </c>
      <c r="U87" s="8" t="n">
        <v>0.224</v>
      </c>
      <c r="V87" s="6" t="s">
        <v>37</v>
      </c>
      <c r="W87" s="6" t="s">
        <v>38</v>
      </c>
    </row>
    <row r="88" customFormat="false" ht="48" hidden="false" customHeight="true" outlineLevel="0" collapsed="false">
      <c r="A88" s="4" t="n">
        <v>187</v>
      </c>
      <c r="B88" s="4" t="s">
        <v>616</v>
      </c>
      <c r="C88" s="5" t="s">
        <v>617</v>
      </c>
      <c r="D88" s="6"/>
      <c r="E88" s="6"/>
      <c r="F88" s="6" t="s">
        <v>618</v>
      </c>
      <c r="G88" s="6" t="s">
        <v>26</v>
      </c>
      <c r="H88" s="7" t="s">
        <v>619</v>
      </c>
      <c r="I88" s="7" t="s">
        <v>28</v>
      </c>
      <c r="J88" s="6" t="s">
        <v>620</v>
      </c>
      <c r="K88" s="6" t="s">
        <v>30</v>
      </c>
      <c r="L88" s="6"/>
      <c r="M88" s="6" t="s">
        <v>621</v>
      </c>
      <c r="N88" s="6" t="s">
        <v>622</v>
      </c>
      <c r="O88" s="6" t="s">
        <v>363</v>
      </c>
      <c r="P88" s="6" t="s">
        <v>623</v>
      </c>
      <c r="Q88" s="8" t="n">
        <v>0.625</v>
      </c>
      <c r="R88" s="6"/>
      <c r="S88" s="6" t="s">
        <v>46</v>
      </c>
      <c r="T88" s="6" t="s">
        <v>624</v>
      </c>
      <c r="U88" s="8" t="n">
        <v>0.857</v>
      </c>
      <c r="V88" s="10" t="s">
        <v>625</v>
      </c>
      <c r="W88" s="6" t="s">
        <v>626</v>
      </c>
    </row>
    <row r="89" customFormat="false" ht="48" hidden="false" customHeight="true" outlineLevel="0" collapsed="false">
      <c r="A89" s="4" t="n">
        <v>188</v>
      </c>
      <c r="B89" s="4" t="s">
        <v>627</v>
      </c>
      <c r="C89" s="5" t="s">
        <v>628</v>
      </c>
      <c r="D89" s="6"/>
      <c r="E89" s="6"/>
      <c r="F89" s="6" t="s">
        <v>629</v>
      </c>
      <c r="G89" s="6" t="s">
        <v>26</v>
      </c>
      <c r="H89" s="7" t="s">
        <v>619</v>
      </c>
      <c r="I89" s="7" t="s">
        <v>28</v>
      </c>
      <c r="J89" s="6" t="s">
        <v>630</v>
      </c>
      <c r="K89" s="6" t="s">
        <v>30</v>
      </c>
      <c r="L89" s="6"/>
      <c r="M89" s="6" t="s">
        <v>631</v>
      </c>
      <c r="N89" s="6" t="s">
        <v>632</v>
      </c>
      <c r="O89" s="6" t="s">
        <v>363</v>
      </c>
      <c r="P89" s="6" t="s">
        <v>633</v>
      </c>
      <c r="Q89" s="8" t="n">
        <v>0.429</v>
      </c>
      <c r="R89" s="6" t="s">
        <v>633</v>
      </c>
      <c r="S89" s="6" t="s">
        <v>35</v>
      </c>
      <c r="T89" s="6" t="s">
        <v>634</v>
      </c>
      <c r="U89" s="8" t="n">
        <v>0.24</v>
      </c>
      <c r="V89" s="10" t="s">
        <v>78</v>
      </c>
      <c r="W89" s="5" t="s">
        <v>635</v>
      </c>
    </row>
    <row r="90" customFormat="false" ht="48" hidden="false" customHeight="true" outlineLevel="0" collapsed="false">
      <c r="A90" s="4" t="n">
        <v>189</v>
      </c>
      <c r="B90" s="4" t="s">
        <v>636</v>
      </c>
      <c r="C90" s="5" t="s">
        <v>637</v>
      </c>
      <c r="D90" s="6"/>
      <c r="E90" s="6"/>
      <c r="F90" s="6" t="s">
        <v>638</v>
      </c>
      <c r="G90" s="6" t="s">
        <v>26</v>
      </c>
      <c r="H90" s="7" t="s">
        <v>619</v>
      </c>
      <c r="I90" s="7" t="s">
        <v>28</v>
      </c>
      <c r="J90" s="6" t="s">
        <v>639</v>
      </c>
      <c r="K90" s="6" t="s">
        <v>30</v>
      </c>
      <c r="L90" s="6"/>
      <c r="M90" s="6" t="s">
        <v>640</v>
      </c>
      <c r="N90" s="6" t="s">
        <v>632</v>
      </c>
      <c r="O90" s="6" t="s">
        <v>363</v>
      </c>
      <c r="P90" s="6" t="s">
        <v>641</v>
      </c>
      <c r="Q90" s="8" t="n">
        <v>0.385</v>
      </c>
      <c r="R90" s="6"/>
      <c r="S90" s="6" t="s">
        <v>35</v>
      </c>
      <c r="T90" s="6" t="s">
        <v>642</v>
      </c>
      <c r="U90" s="8" t="n">
        <v>0.138</v>
      </c>
      <c r="V90" s="9" t="s">
        <v>58</v>
      </c>
      <c r="W90" s="6" t="s">
        <v>59</v>
      </c>
    </row>
    <row r="91" customFormat="false" ht="48" hidden="false" customHeight="true" outlineLevel="0" collapsed="false">
      <c r="A91" s="4" t="n">
        <v>190</v>
      </c>
      <c r="B91" s="4" t="s">
        <v>643</v>
      </c>
      <c r="C91" s="6" t="s">
        <v>644</v>
      </c>
      <c r="D91" s="6"/>
      <c r="E91" s="6"/>
      <c r="F91" s="6" t="s">
        <v>645</v>
      </c>
      <c r="G91" s="6" t="s">
        <v>26</v>
      </c>
      <c r="H91" s="7" t="s">
        <v>619</v>
      </c>
      <c r="I91" s="7" t="s">
        <v>28</v>
      </c>
      <c r="J91" s="6" t="s">
        <v>646</v>
      </c>
      <c r="K91" s="6" t="s">
        <v>52</v>
      </c>
      <c r="L91" s="6"/>
      <c r="M91" s="6" t="s">
        <v>647</v>
      </c>
      <c r="N91" s="6" t="s">
        <v>648</v>
      </c>
      <c r="O91" s="6" t="s">
        <v>380</v>
      </c>
      <c r="P91" s="6" t="s">
        <v>132</v>
      </c>
      <c r="Q91" s="8" t="n">
        <v>0.383</v>
      </c>
      <c r="R91" s="6"/>
      <c r="S91" s="6" t="s">
        <v>46</v>
      </c>
      <c r="T91" s="6" t="s">
        <v>311</v>
      </c>
      <c r="U91" s="8" t="n">
        <v>0.348</v>
      </c>
      <c r="V91" s="6" t="s">
        <v>37</v>
      </c>
      <c r="W91" s="6" t="s">
        <v>38</v>
      </c>
    </row>
    <row r="92" customFormat="false" ht="48" hidden="false" customHeight="true" outlineLevel="0" collapsed="false">
      <c r="A92" s="4" t="n">
        <v>191</v>
      </c>
      <c r="B92" s="4" t="s">
        <v>649</v>
      </c>
      <c r="C92" s="6" t="s">
        <v>650</v>
      </c>
      <c r="D92" s="6"/>
      <c r="E92" s="6"/>
      <c r="F92" s="6" t="s">
        <v>651</v>
      </c>
      <c r="G92" s="6" t="s">
        <v>26</v>
      </c>
      <c r="H92" s="7" t="s">
        <v>619</v>
      </c>
      <c r="I92" s="7" t="s">
        <v>28</v>
      </c>
      <c r="J92" s="6" t="s">
        <v>652</v>
      </c>
      <c r="K92" s="6" t="s">
        <v>52</v>
      </c>
      <c r="L92" s="6"/>
      <c r="M92" s="6" t="s">
        <v>653</v>
      </c>
      <c r="N92" s="6" t="s">
        <v>648</v>
      </c>
      <c r="O92" s="6" t="s">
        <v>380</v>
      </c>
      <c r="P92" s="6" t="s">
        <v>100</v>
      </c>
      <c r="Q92" s="8" t="n">
        <v>0.4</v>
      </c>
      <c r="R92" s="6"/>
      <c r="S92" s="6" t="s">
        <v>46</v>
      </c>
      <c r="T92" s="6" t="s">
        <v>311</v>
      </c>
      <c r="U92" s="8" t="n">
        <v>0.415</v>
      </c>
      <c r="V92" s="6" t="s">
        <v>37</v>
      </c>
      <c r="W92" s="6" t="s">
        <v>38</v>
      </c>
    </row>
    <row r="93" customFormat="false" ht="48" hidden="false" customHeight="true" outlineLevel="0" collapsed="false">
      <c r="A93" s="4" t="n">
        <v>192</v>
      </c>
      <c r="B93" s="4" t="s">
        <v>654</v>
      </c>
      <c r="C93" s="5" t="s">
        <v>655</v>
      </c>
      <c r="D93" s="6"/>
      <c r="E93" s="6"/>
      <c r="F93" s="6" t="s">
        <v>656</v>
      </c>
      <c r="G93" s="6" t="s">
        <v>26</v>
      </c>
      <c r="H93" s="7" t="s">
        <v>619</v>
      </c>
      <c r="I93" s="7" t="s">
        <v>28</v>
      </c>
      <c r="J93" s="6" t="s">
        <v>657</v>
      </c>
      <c r="K93" s="6" t="s">
        <v>658</v>
      </c>
      <c r="L93" s="6"/>
      <c r="M93" s="6" t="s">
        <v>659</v>
      </c>
      <c r="N93" s="6" t="s">
        <v>660</v>
      </c>
      <c r="O93" s="6" t="s">
        <v>661</v>
      </c>
      <c r="P93" s="6" t="s">
        <v>662</v>
      </c>
      <c r="Q93" s="8" t="n">
        <v>0.208</v>
      </c>
      <c r="R93" s="6"/>
      <c r="S93" s="6" t="s">
        <v>46</v>
      </c>
      <c r="T93" s="6" t="s">
        <v>663</v>
      </c>
      <c r="U93" s="8" t="n">
        <v>0.154</v>
      </c>
      <c r="V93" s="9" t="s">
        <v>58</v>
      </c>
      <c r="W93" s="6" t="s">
        <v>59</v>
      </c>
    </row>
    <row r="94" customFormat="false" ht="48" hidden="false" customHeight="true" outlineLevel="0" collapsed="false">
      <c r="A94" s="4" t="n">
        <v>193</v>
      </c>
      <c r="B94" s="4" t="s">
        <v>664</v>
      </c>
      <c r="C94" s="5" t="s">
        <v>665</v>
      </c>
      <c r="D94" s="6"/>
      <c r="E94" s="6"/>
      <c r="F94" s="6" t="s">
        <v>666</v>
      </c>
      <c r="G94" s="6" t="s">
        <v>26</v>
      </c>
      <c r="H94" s="7" t="s">
        <v>619</v>
      </c>
      <c r="I94" s="7" t="s">
        <v>28</v>
      </c>
      <c r="J94" s="6" t="s">
        <v>667</v>
      </c>
      <c r="K94" s="6" t="s">
        <v>658</v>
      </c>
      <c r="L94" s="6"/>
      <c r="M94" s="6" t="s">
        <v>668</v>
      </c>
      <c r="N94" s="6" t="s">
        <v>660</v>
      </c>
      <c r="O94" s="6" t="s">
        <v>661</v>
      </c>
      <c r="P94" s="6" t="s">
        <v>633</v>
      </c>
      <c r="Q94" s="8" t="n">
        <v>0.217</v>
      </c>
      <c r="R94" s="6"/>
      <c r="S94" s="6" t="s">
        <v>46</v>
      </c>
      <c r="T94" s="6" t="s">
        <v>669</v>
      </c>
      <c r="U94" s="8" t="n">
        <v>0.128</v>
      </c>
      <c r="V94" s="9" t="s">
        <v>58</v>
      </c>
      <c r="W94" s="6" t="s">
        <v>59</v>
      </c>
    </row>
    <row r="95" customFormat="false" ht="48" hidden="false" customHeight="true" outlineLevel="0" collapsed="false">
      <c r="A95" s="4" t="n">
        <v>194</v>
      </c>
      <c r="B95" s="4" t="s">
        <v>670</v>
      </c>
      <c r="C95" s="5" t="s">
        <v>671</v>
      </c>
      <c r="D95" s="6"/>
      <c r="E95" s="6"/>
      <c r="F95" s="6" t="s">
        <v>672</v>
      </c>
      <c r="G95" s="6" t="s">
        <v>26</v>
      </c>
      <c r="H95" s="7" t="s">
        <v>619</v>
      </c>
      <c r="I95" s="7" t="s">
        <v>28</v>
      </c>
      <c r="J95" s="6" t="s">
        <v>673</v>
      </c>
      <c r="K95" s="6" t="s">
        <v>30</v>
      </c>
      <c r="L95" s="6"/>
      <c r="M95" s="6" t="s">
        <v>674</v>
      </c>
      <c r="N95" s="6" t="s">
        <v>622</v>
      </c>
      <c r="O95" s="6" t="s">
        <v>363</v>
      </c>
      <c r="P95" s="6" t="s">
        <v>641</v>
      </c>
      <c r="Q95" s="8" t="n">
        <v>0.259</v>
      </c>
      <c r="R95" s="6"/>
      <c r="S95" s="6" t="s">
        <v>46</v>
      </c>
      <c r="T95" s="6" t="s">
        <v>675</v>
      </c>
      <c r="U95" s="8" t="n">
        <v>0.267</v>
      </c>
      <c r="V95" s="6" t="s">
        <v>37</v>
      </c>
      <c r="W95" s="6" t="s">
        <v>38</v>
      </c>
    </row>
    <row r="96" customFormat="false" ht="48" hidden="false" customHeight="true" outlineLevel="0" collapsed="false">
      <c r="A96" s="4" t="n">
        <v>195</v>
      </c>
      <c r="B96" s="4" t="s">
        <v>676</v>
      </c>
      <c r="C96" s="5" t="s">
        <v>677</v>
      </c>
      <c r="D96" s="6"/>
      <c r="E96" s="6"/>
      <c r="F96" s="6" t="s">
        <v>678</v>
      </c>
      <c r="G96" s="6" t="s">
        <v>26</v>
      </c>
      <c r="H96" s="7" t="s">
        <v>619</v>
      </c>
      <c r="I96" s="7" t="s">
        <v>28</v>
      </c>
      <c r="J96" s="6" t="s">
        <v>679</v>
      </c>
      <c r="K96" s="6" t="s">
        <v>30</v>
      </c>
      <c r="L96" s="6"/>
      <c r="M96" s="6" t="s">
        <v>680</v>
      </c>
      <c r="N96" s="6" t="s">
        <v>681</v>
      </c>
      <c r="O96" s="6" t="s">
        <v>363</v>
      </c>
      <c r="P96" s="6" t="s">
        <v>662</v>
      </c>
      <c r="Q96" s="8" t="n">
        <v>0.619</v>
      </c>
      <c r="R96" s="6"/>
      <c r="S96" s="6" t="s">
        <v>46</v>
      </c>
      <c r="T96" s="6" t="s">
        <v>624</v>
      </c>
      <c r="U96" s="8" t="n">
        <v>0.409</v>
      </c>
      <c r="V96" s="10" t="s">
        <v>78</v>
      </c>
      <c r="W96" s="6" t="s">
        <v>682</v>
      </c>
    </row>
    <row r="97" customFormat="false" ht="48" hidden="false" customHeight="true" outlineLevel="0" collapsed="false">
      <c r="A97" s="4" t="n">
        <v>196</v>
      </c>
      <c r="B97" s="4" t="s">
        <v>683</v>
      </c>
      <c r="C97" s="5" t="s">
        <v>684</v>
      </c>
      <c r="D97" s="6"/>
      <c r="E97" s="6"/>
      <c r="F97" s="6" t="s">
        <v>685</v>
      </c>
      <c r="G97" s="6" t="s">
        <v>26</v>
      </c>
      <c r="H97" s="7" t="s">
        <v>619</v>
      </c>
      <c r="I97" s="7" t="s">
        <v>28</v>
      </c>
      <c r="J97" s="6" t="s">
        <v>686</v>
      </c>
      <c r="K97" s="6" t="s">
        <v>30</v>
      </c>
      <c r="L97" s="6"/>
      <c r="M97" s="6" t="s">
        <v>687</v>
      </c>
      <c r="N97" s="6" t="s">
        <v>681</v>
      </c>
      <c r="O97" s="6" t="s">
        <v>363</v>
      </c>
      <c r="P97" s="6" t="s">
        <v>633</v>
      </c>
      <c r="Q97" s="8" t="n">
        <v>0.179</v>
      </c>
      <c r="R97" s="6"/>
      <c r="S97" s="6" t="s">
        <v>46</v>
      </c>
      <c r="T97" s="6" t="s">
        <v>688</v>
      </c>
      <c r="U97" s="8" t="n">
        <v>0.27</v>
      </c>
      <c r="V97" s="6" t="s">
        <v>37</v>
      </c>
      <c r="W97" s="6" t="s">
        <v>38</v>
      </c>
    </row>
    <row r="98" customFormat="false" ht="48" hidden="false" customHeight="true" outlineLevel="0" collapsed="false">
      <c r="A98" s="4" t="n">
        <v>197</v>
      </c>
      <c r="B98" s="4" t="s">
        <v>689</v>
      </c>
      <c r="C98" s="5" t="s">
        <v>690</v>
      </c>
      <c r="D98" s="6"/>
      <c r="E98" s="6"/>
      <c r="F98" s="6" t="s">
        <v>691</v>
      </c>
      <c r="G98" s="6" t="s">
        <v>26</v>
      </c>
      <c r="H98" s="7" t="s">
        <v>619</v>
      </c>
      <c r="I98" s="7" t="s">
        <v>28</v>
      </c>
      <c r="J98" s="6" t="s">
        <v>692</v>
      </c>
      <c r="K98" s="6" t="s">
        <v>30</v>
      </c>
      <c r="L98" s="6"/>
      <c r="M98" s="6" t="s">
        <v>693</v>
      </c>
      <c r="N98" s="6" t="s">
        <v>694</v>
      </c>
      <c r="O98" s="6" t="s">
        <v>363</v>
      </c>
      <c r="P98" s="6" t="s">
        <v>695</v>
      </c>
      <c r="Q98" s="8" t="n">
        <v>0.107</v>
      </c>
      <c r="R98" s="6"/>
      <c r="S98" s="6" t="s">
        <v>46</v>
      </c>
      <c r="T98" s="6" t="s">
        <v>696</v>
      </c>
      <c r="U98" s="8" t="n">
        <v>0.286</v>
      </c>
      <c r="V98" s="9" t="s">
        <v>58</v>
      </c>
      <c r="W98" s="6" t="s">
        <v>59</v>
      </c>
    </row>
    <row r="99" customFormat="false" ht="48" hidden="false" customHeight="true" outlineLevel="0" collapsed="false">
      <c r="A99" s="4" t="n">
        <v>198</v>
      </c>
      <c r="B99" s="4" t="s">
        <v>697</v>
      </c>
      <c r="C99" s="5" t="s">
        <v>698</v>
      </c>
      <c r="D99" s="6"/>
      <c r="E99" s="6"/>
      <c r="F99" s="6" t="s">
        <v>699</v>
      </c>
      <c r="G99" s="6" t="s">
        <v>26</v>
      </c>
      <c r="H99" s="7" t="s">
        <v>619</v>
      </c>
      <c r="I99" s="7" t="s">
        <v>28</v>
      </c>
      <c r="J99" s="6" t="s">
        <v>700</v>
      </c>
      <c r="K99" s="6" t="s">
        <v>30</v>
      </c>
      <c r="L99" s="6"/>
      <c r="M99" s="6" t="s">
        <v>701</v>
      </c>
      <c r="N99" s="6" t="s">
        <v>694</v>
      </c>
      <c r="O99" s="6" t="s">
        <v>363</v>
      </c>
      <c r="P99" s="6" t="s">
        <v>623</v>
      </c>
      <c r="Q99" s="8" t="n">
        <v>0.308</v>
      </c>
      <c r="R99" s="6"/>
      <c r="S99" s="6" t="s">
        <v>46</v>
      </c>
      <c r="T99" s="6" t="s">
        <v>624</v>
      </c>
      <c r="U99" s="8" t="n">
        <v>0.36</v>
      </c>
      <c r="V99" s="9" t="s">
        <v>58</v>
      </c>
      <c r="W99" s="6" t="s">
        <v>59</v>
      </c>
    </row>
    <row r="100" customFormat="false" ht="48" hidden="false" customHeight="true" outlineLevel="0" collapsed="false">
      <c r="A100" s="4" t="n">
        <v>199</v>
      </c>
      <c r="B100" s="4" t="s">
        <v>702</v>
      </c>
      <c r="C100" s="5" t="s">
        <v>703</v>
      </c>
      <c r="D100" s="6"/>
      <c r="E100" s="6"/>
      <c r="F100" s="6" t="s">
        <v>704</v>
      </c>
      <c r="G100" s="6" t="s">
        <v>26</v>
      </c>
      <c r="H100" s="7" t="s">
        <v>619</v>
      </c>
      <c r="I100" s="7" t="s">
        <v>28</v>
      </c>
      <c r="J100" s="6" t="s">
        <v>705</v>
      </c>
      <c r="K100" s="6" t="s">
        <v>30</v>
      </c>
      <c r="L100" s="6"/>
      <c r="M100" s="6" t="s">
        <v>706</v>
      </c>
      <c r="N100" s="6" t="s">
        <v>681</v>
      </c>
      <c r="O100" s="6" t="s">
        <v>363</v>
      </c>
      <c r="P100" s="6" t="s">
        <v>641</v>
      </c>
      <c r="Q100" s="8" t="n">
        <v>0.4</v>
      </c>
      <c r="R100" s="6"/>
      <c r="S100" s="6" t="s">
        <v>46</v>
      </c>
      <c r="T100" s="6" t="s">
        <v>707</v>
      </c>
      <c r="U100" s="8" t="n">
        <v>0.333</v>
      </c>
      <c r="V100" s="6" t="s">
        <v>37</v>
      </c>
      <c r="W100" s="6" t="s">
        <v>38</v>
      </c>
    </row>
    <row r="101" customFormat="false" ht="48" hidden="false" customHeight="true" outlineLevel="0" collapsed="false">
      <c r="A101" s="4" t="n">
        <v>200</v>
      </c>
      <c r="B101" s="4" t="s">
        <v>708</v>
      </c>
      <c r="C101" s="5" t="s">
        <v>709</v>
      </c>
      <c r="D101" s="6"/>
      <c r="E101" s="6"/>
      <c r="F101" s="6" t="s">
        <v>710</v>
      </c>
      <c r="G101" s="6" t="s">
        <v>26</v>
      </c>
      <c r="H101" s="7" t="s">
        <v>619</v>
      </c>
      <c r="I101" s="7" t="s">
        <v>142</v>
      </c>
      <c r="J101" s="6" t="s">
        <v>711</v>
      </c>
      <c r="K101" s="6" t="s">
        <v>30</v>
      </c>
      <c r="L101" s="6"/>
      <c r="M101" s="6" t="s">
        <v>712</v>
      </c>
      <c r="N101" s="6" t="s">
        <v>713</v>
      </c>
      <c r="O101" s="6" t="s">
        <v>363</v>
      </c>
      <c r="P101" s="6" t="s">
        <v>662</v>
      </c>
      <c r="Q101" s="8" t="n">
        <v>1</v>
      </c>
      <c r="R101" s="6" t="s">
        <v>662</v>
      </c>
      <c r="S101" s="6" t="s">
        <v>35</v>
      </c>
      <c r="T101" s="6" t="s">
        <v>624</v>
      </c>
      <c r="U101" s="8" t="n">
        <v>0.476</v>
      </c>
      <c r="V101" s="10" t="s">
        <v>78</v>
      </c>
      <c r="W101" s="5" t="s">
        <v>714</v>
      </c>
    </row>
    <row r="102" customFormat="false" ht="48" hidden="false" customHeight="true" outlineLevel="0" collapsed="false">
      <c r="A102" s="4" t="n">
        <v>201</v>
      </c>
      <c r="B102" s="4" t="s">
        <v>715</v>
      </c>
      <c r="C102" s="5" t="s">
        <v>716</v>
      </c>
      <c r="D102" s="6"/>
      <c r="E102" s="6"/>
      <c r="F102" s="6" t="s">
        <v>717</v>
      </c>
      <c r="G102" s="6" t="s">
        <v>26</v>
      </c>
      <c r="H102" s="7" t="s">
        <v>619</v>
      </c>
      <c r="I102" s="7" t="s">
        <v>142</v>
      </c>
      <c r="J102" s="6" t="s">
        <v>718</v>
      </c>
      <c r="K102" s="6" t="s">
        <v>30</v>
      </c>
      <c r="L102" s="6"/>
      <c r="M102" s="6" t="s">
        <v>719</v>
      </c>
      <c r="N102" s="6" t="s">
        <v>713</v>
      </c>
      <c r="O102" s="6" t="s">
        <v>363</v>
      </c>
      <c r="P102" s="6" t="s">
        <v>633</v>
      </c>
      <c r="Q102" s="8" t="n">
        <v>0.269</v>
      </c>
      <c r="R102" s="6"/>
      <c r="S102" s="6" t="s">
        <v>35</v>
      </c>
      <c r="T102" s="6" t="s">
        <v>634</v>
      </c>
      <c r="U102" s="8" t="n">
        <v>0.259</v>
      </c>
      <c r="V102" s="9" t="s">
        <v>58</v>
      </c>
      <c r="W102" s="6" t="s">
        <v>59</v>
      </c>
    </row>
    <row r="103" customFormat="false" ht="48" hidden="false" customHeight="true" outlineLevel="0" collapsed="false">
      <c r="A103" s="4" t="n">
        <v>202</v>
      </c>
      <c r="B103" s="4" t="s">
        <v>720</v>
      </c>
      <c r="C103" s="5" t="s">
        <v>721</v>
      </c>
      <c r="D103" s="6"/>
      <c r="E103" s="6"/>
      <c r="F103" s="6" t="s">
        <v>722</v>
      </c>
      <c r="G103" s="6" t="s">
        <v>26</v>
      </c>
      <c r="H103" s="7" t="s">
        <v>619</v>
      </c>
      <c r="I103" s="7" t="s">
        <v>142</v>
      </c>
      <c r="J103" s="6" t="s">
        <v>723</v>
      </c>
      <c r="K103" s="6" t="s">
        <v>30</v>
      </c>
      <c r="L103" s="6"/>
      <c r="M103" s="6" t="s">
        <v>724</v>
      </c>
      <c r="N103" s="6" t="s">
        <v>725</v>
      </c>
      <c r="O103" s="6" t="s">
        <v>363</v>
      </c>
      <c r="P103" s="6" t="s">
        <v>726</v>
      </c>
      <c r="Q103" s="8" t="n">
        <v>0.172</v>
      </c>
      <c r="R103" s="6"/>
      <c r="S103" s="6" t="s">
        <v>35</v>
      </c>
      <c r="T103" s="6" t="s">
        <v>707</v>
      </c>
      <c r="U103" s="8" t="n">
        <v>0.121</v>
      </c>
      <c r="V103" s="9" t="s">
        <v>58</v>
      </c>
      <c r="W103" s="6" t="s">
        <v>59</v>
      </c>
    </row>
    <row r="104" customFormat="false" ht="48" hidden="false" customHeight="true" outlineLevel="0" collapsed="false">
      <c r="A104" s="4" t="n">
        <v>203</v>
      </c>
      <c r="B104" s="4" t="s">
        <v>727</v>
      </c>
      <c r="C104" s="5" t="s">
        <v>728</v>
      </c>
      <c r="D104" s="6"/>
      <c r="E104" s="6"/>
      <c r="F104" s="6" t="s">
        <v>729</v>
      </c>
      <c r="G104" s="6" t="s">
        <v>26</v>
      </c>
      <c r="H104" s="7" t="s">
        <v>619</v>
      </c>
      <c r="I104" s="7" t="s">
        <v>142</v>
      </c>
      <c r="J104" s="6" t="s">
        <v>730</v>
      </c>
      <c r="K104" s="6" t="s">
        <v>30</v>
      </c>
      <c r="L104" s="6"/>
      <c r="M104" s="6" t="s">
        <v>731</v>
      </c>
      <c r="N104" s="6" t="s">
        <v>713</v>
      </c>
      <c r="O104" s="6" t="s">
        <v>363</v>
      </c>
      <c r="P104" s="6" t="s">
        <v>641</v>
      </c>
      <c r="Q104" s="8" t="n">
        <v>0.52</v>
      </c>
      <c r="R104" s="6"/>
      <c r="S104" s="6" t="s">
        <v>35</v>
      </c>
      <c r="T104" s="6" t="s">
        <v>675</v>
      </c>
      <c r="U104" s="8" t="n">
        <v>0.167</v>
      </c>
      <c r="V104" s="10" t="s">
        <v>78</v>
      </c>
      <c r="W104" s="6" t="s">
        <v>732</v>
      </c>
    </row>
    <row r="105" customFormat="false" ht="48" hidden="false" customHeight="true" outlineLevel="0" collapsed="false">
      <c r="A105" s="4" t="n">
        <v>204</v>
      </c>
      <c r="B105" s="4" t="s">
        <v>733</v>
      </c>
      <c r="C105" s="5" t="s">
        <v>734</v>
      </c>
      <c r="D105" s="6"/>
      <c r="E105" s="6"/>
      <c r="F105" s="6" t="s">
        <v>735</v>
      </c>
      <c r="G105" s="6" t="s">
        <v>26</v>
      </c>
      <c r="H105" s="7" t="s">
        <v>619</v>
      </c>
      <c r="I105" s="7" t="s">
        <v>142</v>
      </c>
      <c r="J105" s="6" t="s">
        <v>736</v>
      </c>
      <c r="K105" s="6" t="s">
        <v>30</v>
      </c>
      <c r="L105" s="6"/>
      <c r="M105" s="6" t="s">
        <v>737</v>
      </c>
      <c r="N105" s="6" t="s">
        <v>738</v>
      </c>
      <c r="O105" s="6" t="s">
        <v>363</v>
      </c>
      <c r="P105" s="6" t="s">
        <v>633</v>
      </c>
      <c r="Q105" s="8" t="n">
        <v>0.545</v>
      </c>
      <c r="R105" s="6"/>
      <c r="S105" s="6" t="s">
        <v>46</v>
      </c>
      <c r="T105" s="6" t="s">
        <v>624</v>
      </c>
      <c r="U105" s="8" t="n">
        <v>0.36</v>
      </c>
      <c r="V105" s="10" t="s">
        <v>78</v>
      </c>
      <c r="W105" s="6" t="s">
        <v>739</v>
      </c>
    </row>
    <row r="106" customFormat="false" ht="48" hidden="false" customHeight="true" outlineLevel="0" collapsed="false">
      <c r="A106" s="4" t="n">
        <v>205</v>
      </c>
      <c r="B106" s="4" t="s">
        <v>740</v>
      </c>
      <c r="C106" s="5" t="s">
        <v>741</v>
      </c>
      <c r="D106" s="6"/>
      <c r="E106" s="6"/>
      <c r="F106" s="6" t="s">
        <v>742</v>
      </c>
      <c r="G106" s="6" t="s">
        <v>26</v>
      </c>
      <c r="H106" s="7" t="s">
        <v>619</v>
      </c>
      <c r="I106" s="7" t="s">
        <v>142</v>
      </c>
      <c r="J106" s="6" t="s">
        <v>743</v>
      </c>
      <c r="K106" s="6" t="s">
        <v>30</v>
      </c>
      <c r="L106" s="6"/>
      <c r="M106" s="6" t="s">
        <v>744</v>
      </c>
      <c r="N106" s="6" t="s">
        <v>738</v>
      </c>
      <c r="O106" s="6" t="s">
        <v>363</v>
      </c>
      <c r="P106" s="6" t="s">
        <v>662</v>
      </c>
      <c r="Q106" s="8" t="n">
        <v>0.188</v>
      </c>
      <c r="R106" s="6"/>
      <c r="S106" s="6" t="s">
        <v>46</v>
      </c>
      <c r="T106" s="6" t="s">
        <v>745</v>
      </c>
      <c r="U106" s="8" t="n">
        <v>0.17</v>
      </c>
      <c r="V106" s="6" t="s">
        <v>37</v>
      </c>
      <c r="W106" s="6" t="s">
        <v>38</v>
      </c>
    </row>
    <row r="107" customFormat="false" ht="48" hidden="false" customHeight="true" outlineLevel="0" collapsed="false">
      <c r="A107" s="4" t="n">
        <v>206</v>
      </c>
      <c r="B107" s="4" t="s">
        <v>746</v>
      </c>
      <c r="C107" s="5" t="s">
        <v>747</v>
      </c>
      <c r="D107" s="6"/>
      <c r="E107" s="6"/>
      <c r="F107" s="6" t="s">
        <v>748</v>
      </c>
      <c r="G107" s="6" t="s">
        <v>26</v>
      </c>
      <c r="H107" s="7" t="s">
        <v>619</v>
      </c>
      <c r="I107" s="7" t="s">
        <v>142</v>
      </c>
      <c r="J107" s="6" t="s">
        <v>749</v>
      </c>
      <c r="K107" s="6" t="s">
        <v>52</v>
      </c>
      <c r="L107" s="6"/>
      <c r="M107" s="6" t="s">
        <v>750</v>
      </c>
      <c r="N107" s="6" t="s">
        <v>751</v>
      </c>
      <c r="O107" s="6" t="s">
        <v>380</v>
      </c>
      <c r="P107" s="6" t="s">
        <v>132</v>
      </c>
      <c r="Q107" s="8" t="n">
        <v>0.305</v>
      </c>
      <c r="R107" s="6"/>
      <c r="S107" s="6" t="s">
        <v>46</v>
      </c>
      <c r="T107" s="6" t="s">
        <v>311</v>
      </c>
      <c r="U107" s="8" t="n">
        <v>0.276</v>
      </c>
      <c r="V107" s="6" t="s">
        <v>37</v>
      </c>
      <c r="W107" s="6" t="s">
        <v>38</v>
      </c>
    </row>
    <row r="108" customFormat="false" ht="48" hidden="false" customHeight="true" outlineLevel="0" collapsed="false">
      <c r="A108" s="4" t="n">
        <v>207</v>
      </c>
      <c r="B108" s="4" t="s">
        <v>752</v>
      </c>
      <c r="C108" s="5" t="s">
        <v>753</v>
      </c>
      <c r="D108" s="6"/>
      <c r="E108" s="6"/>
      <c r="F108" s="6" t="s">
        <v>754</v>
      </c>
      <c r="G108" s="6" t="s">
        <v>26</v>
      </c>
      <c r="H108" s="7" t="s">
        <v>619</v>
      </c>
      <c r="I108" s="7" t="s">
        <v>142</v>
      </c>
      <c r="J108" s="6" t="s">
        <v>755</v>
      </c>
      <c r="K108" s="6" t="s">
        <v>52</v>
      </c>
      <c r="L108" s="6"/>
      <c r="M108" s="6" t="s">
        <v>756</v>
      </c>
      <c r="N108" s="6" t="s">
        <v>757</v>
      </c>
      <c r="O108" s="6" t="s">
        <v>380</v>
      </c>
      <c r="P108" s="6" t="s">
        <v>758</v>
      </c>
      <c r="Q108" s="8" t="n">
        <v>0.37</v>
      </c>
      <c r="R108" s="6"/>
      <c r="S108" s="6" t="s">
        <v>46</v>
      </c>
      <c r="T108" s="6" t="s">
        <v>311</v>
      </c>
      <c r="U108" s="8" t="n">
        <v>0.288</v>
      </c>
      <c r="V108" s="6" t="s">
        <v>37</v>
      </c>
      <c r="W108" s="6" t="s">
        <v>38</v>
      </c>
    </row>
    <row r="109" customFormat="false" ht="48" hidden="false" customHeight="true" outlineLevel="0" collapsed="false">
      <c r="A109" s="4" t="n">
        <v>208</v>
      </c>
      <c r="B109" s="4" t="s">
        <v>759</v>
      </c>
      <c r="C109" s="6" t="s">
        <v>760</v>
      </c>
      <c r="D109" s="6"/>
      <c r="E109" s="6"/>
      <c r="F109" s="6" t="s">
        <v>761</v>
      </c>
      <c r="G109" s="6" t="s">
        <v>26</v>
      </c>
      <c r="H109" s="7" t="s">
        <v>619</v>
      </c>
      <c r="I109" s="7" t="s">
        <v>142</v>
      </c>
      <c r="J109" s="6" t="s">
        <v>762</v>
      </c>
      <c r="K109" s="6" t="s">
        <v>30</v>
      </c>
      <c r="L109" s="6"/>
      <c r="M109" s="6" t="s">
        <v>763</v>
      </c>
      <c r="N109" s="6" t="s">
        <v>764</v>
      </c>
      <c r="O109" s="6" t="s">
        <v>363</v>
      </c>
      <c r="P109" s="6" t="s">
        <v>500</v>
      </c>
      <c r="Q109" s="8" t="n">
        <v>0.362</v>
      </c>
      <c r="R109" s="6"/>
      <c r="S109" s="6" t="s">
        <v>46</v>
      </c>
      <c r="T109" s="6" t="s">
        <v>231</v>
      </c>
      <c r="U109" s="8" t="n">
        <v>0.275</v>
      </c>
      <c r="V109" s="9" t="s">
        <v>58</v>
      </c>
      <c r="W109" s="6" t="s">
        <v>59</v>
      </c>
    </row>
    <row r="110" customFormat="false" ht="48" hidden="false" customHeight="true" outlineLevel="0" collapsed="false">
      <c r="A110" s="4" t="n">
        <v>209</v>
      </c>
      <c r="B110" s="4" t="s">
        <v>765</v>
      </c>
      <c r="C110" s="6" t="s">
        <v>766</v>
      </c>
      <c r="D110" s="6"/>
      <c r="E110" s="6"/>
      <c r="F110" s="6" t="s">
        <v>767</v>
      </c>
      <c r="G110" s="6" t="s">
        <v>26</v>
      </c>
      <c r="H110" s="7" t="s">
        <v>619</v>
      </c>
      <c r="I110" s="7" t="s">
        <v>142</v>
      </c>
      <c r="J110" s="6" t="s">
        <v>768</v>
      </c>
      <c r="K110" s="6" t="s">
        <v>30</v>
      </c>
      <c r="L110" s="6"/>
      <c r="M110" s="6" t="s">
        <v>769</v>
      </c>
      <c r="N110" s="6" t="s">
        <v>738</v>
      </c>
      <c r="O110" s="6" t="s">
        <v>363</v>
      </c>
      <c r="P110" s="6" t="s">
        <v>415</v>
      </c>
      <c r="Q110" s="8" t="n">
        <v>0.306</v>
      </c>
      <c r="R110" s="6"/>
      <c r="S110" s="6" t="s">
        <v>46</v>
      </c>
      <c r="T110" s="6" t="s">
        <v>745</v>
      </c>
      <c r="U110" s="8" t="n">
        <v>0.151</v>
      </c>
      <c r="V110" s="6" t="s">
        <v>37</v>
      </c>
      <c r="W110" s="6" t="s">
        <v>38</v>
      </c>
    </row>
    <row r="111" customFormat="false" ht="48" hidden="false" customHeight="true" outlineLevel="0" collapsed="false">
      <c r="A111" s="4" t="n">
        <v>210</v>
      </c>
      <c r="B111" s="4" t="s">
        <v>770</v>
      </c>
      <c r="C111" s="6" t="s">
        <v>771</v>
      </c>
      <c r="D111" s="6"/>
      <c r="E111" s="6"/>
      <c r="F111" s="6" t="s">
        <v>772</v>
      </c>
      <c r="G111" s="6" t="s">
        <v>26</v>
      </c>
      <c r="H111" s="7" t="s">
        <v>619</v>
      </c>
      <c r="I111" s="7" t="s">
        <v>142</v>
      </c>
      <c r="J111" s="6" t="s">
        <v>773</v>
      </c>
      <c r="K111" s="6" t="s">
        <v>30</v>
      </c>
      <c r="L111" s="6"/>
      <c r="M111" s="6" t="s">
        <v>774</v>
      </c>
      <c r="N111" s="6" t="s">
        <v>775</v>
      </c>
      <c r="O111" s="6" t="s">
        <v>363</v>
      </c>
      <c r="P111" s="6" t="s">
        <v>758</v>
      </c>
      <c r="Q111" s="8" t="n">
        <v>0.288</v>
      </c>
      <c r="R111" s="6"/>
      <c r="S111" s="6" t="s">
        <v>46</v>
      </c>
      <c r="T111" s="6" t="s">
        <v>231</v>
      </c>
      <c r="U111" s="8" t="n">
        <v>0.22</v>
      </c>
      <c r="V111" s="6" t="s">
        <v>37</v>
      </c>
      <c r="W111" s="6" t="s">
        <v>38</v>
      </c>
    </row>
    <row r="112" customFormat="false" ht="48" hidden="false" customHeight="true" outlineLevel="0" collapsed="false">
      <c r="A112" s="4" t="n">
        <v>211</v>
      </c>
      <c r="B112" s="4" t="s">
        <v>776</v>
      </c>
      <c r="C112" s="6" t="s">
        <v>777</v>
      </c>
      <c r="D112" s="6"/>
      <c r="E112" s="6"/>
      <c r="F112" s="6" t="s">
        <v>778</v>
      </c>
      <c r="G112" s="6" t="s">
        <v>26</v>
      </c>
      <c r="H112" s="7" t="s">
        <v>619</v>
      </c>
      <c r="I112" s="7" t="s">
        <v>142</v>
      </c>
      <c r="J112" s="6" t="s">
        <v>779</v>
      </c>
      <c r="K112" s="6" t="s">
        <v>30</v>
      </c>
      <c r="L112" s="6"/>
      <c r="M112" s="6" t="s">
        <v>780</v>
      </c>
      <c r="N112" s="6" t="s">
        <v>781</v>
      </c>
      <c r="O112" s="6" t="s">
        <v>363</v>
      </c>
      <c r="P112" s="6" t="s">
        <v>582</v>
      </c>
      <c r="Q112" s="8" t="n">
        <v>0.218</v>
      </c>
      <c r="R112" s="6"/>
      <c r="S112" s="6" t="s">
        <v>46</v>
      </c>
      <c r="T112" s="6" t="s">
        <v>231</v>
      </c>
      <c r="U112" s="8" t="n">
        <v>0.14</v>
      </c>
      <c r="V112" s="6" t="s">
        <v>37</v>
      </c>
      <c r="W112" s="6" t="s">
        <v>38</v>
      </c>
    </row>
    <row r="113" customFormat="false" ht="48" hidden="false" customHeight="true" outlineLevel="0" collapsed="false">
      <c r="A113" s="4" t="n">
        <v>212</v>
      </c>
      <c r="B113" s="4" t="s">
        <v>782</v>
      </c>
      <c r="C113" s="5" t="s">
        <v>783</v>
      </c>
      <c r="D113" s="6"/>
      <c r="E113" s="6"/>
      <c r="F113" s="6" t="s">
        <v>784</v>
      </c>
      <c r="G113" s="6" t="s">
        <v>26</v>
      </c>
      <c r="H113" s="7" t="s">
        <v>619</v>
      </c>
      <c r="I113" s="7" t="s">
        <v>142</v>
      </c>
      <c r="J113" s="6" t="s">
        <v>785</v>
      </c>
      <c r="K113" s="6" t="s">
        <v>658</v>
      </c>
      <c r="L113" s="6"/>
      <c r="M113" s="6" t="s">
        <v>786</v>
      </c>
      <c r="N113" s="6" t="s">
        <v>787</v>
      </c>
      <c r="O113" s="6" t="s">
        <v>661</v>
      </c>
      <c r="P113" s="6" t="s">
        <v>662</v>
      </c>
      <c r="Q113" s="8" t="n">
        <v>0.579</v>
      </c>
      <c r="R113" s="6"/>
      <c r="S113" s="6" t="s">
        <v>46</v>
      </c>
      <c r="T113" s="6" t="s">
        <v>624</v>
      </c>
      <c r="U113" s="8" t="n">
        <v>0.421</v>
      </c>
      <c r="V113" s="10" t="s">
        <v>78</v>
      </c>
      <c r="W113" s="6" t="s">
        <v>788</v>
      </c>
    </row>
    <row r="114" customFormat="false" ht="48" hidden="false" customHeight="true" outlineLevel="0" collapsed="false">
      <c r="A114" s="4" t="n">
        <v>213</v>
      </c>
      <c r="B114" s="4" t="s">
        <v>789</v>
      </c>
      <c r="C114" s="5" t="s">
        <v>790</v>
      </c>
      <c r="D114" s="6"/>
      <c r="E114" s="6"/>
      <c r="F114" s="6" t="s">
        <v>791</v>
      </c>
      <c r="G114" s="6" t="s">
        <v>26</v>
      </c>
      <c r="H114" s="7" t="s">
        <v>619</v>
      </c>
      <c r="I114" s="7" t="s">
        <v>142</v>
      </c>
      <c r="J114" s="6" t="s">
        <v>792</v>
      </c>
      <c r="K114" s="6" t="s">
        <v>658</v>
      </c>
      <c r="L114" s="6"/>
      <c r="M114" s="6" t="s">
        <v>793</v>
      </c>
      <c r="N114" s="6" t="s">
        <v>787</v>
      </c>
      <c r="O114" s="6" t="s">
        <v>661</v>
      </c>
      <c r="P114" s="6" t="s">
        <v>641</v>
      </c>
      <c r="Q114" s="8" t="n">
        <v>0.179</v>
      </c>
      <c r="R114" s="6"/>
      <c r="S114" s="6" t="s">
        <v>46</v>
      </c>
      <c r="T114" s="6" t="s">
        <v>642</v>
      </c>
      <c r="U114" s="8" t="n">
        <v>0.25</v>
      </c>
      <c r="V114" s="6" t="s">
        <v>37</v>
      </c>
      <c r="W114" s="6" t="s">
        <v>38</v>
      </c>
    </row>
    <row r="115" customFormat="false" ht="48" hidden="false" customHeight="true" outlineLevel="0" collapsed="false">
      <c r="A115" s="4" t="n">
        <v>214</v>
      </c>
      <c r="B115" s="4" t="s">
        <v>794</v>
      </c>
      <c r="C115" s="5" t="s">
        <v>795</v>
      </c>
      <c r="D115" s="6"/>
      <c r="E115" s="6"/>
      <c r="F115" s="6" t="s">
        <v>796</v>
      </c>
      <c r="G115" s="6" t="s">
        <v>26</v>
      </c>
      <c r="H115" s="7" t="s">
        <v>619</v>
      </c>
      <c r="I115" s="7" t="s">
        <v>142</v>
      </c>
      <c r="J115" s="6" t="s">
        <v>797</v>
      </c>
      <c r="K115" s="6" t="s">
        <v>30</v>
      </c>
      <c r="L115" s="6"/>
      <c r="M115" s="6" t="s">
        <v>798</v>
      </c>
      <c r="N115" s="6" t="s">
        <v>799</v>
      </c>
      <c r="O115" s="6" t="s">
        <v>363</v>
      </c>
      <c r="P115" s="6" t="s">
        <v>758</v>
      </c>
      <c r="Q115" s="8" t="n">
        <v>0.25</v>
      </c>
      <c r="R115" s="6"/>
      <c r="S115" s="6" t="s">
        <v>46</v>
      </c>
      <c r="T115" s="6" t="s">
        <v>231</v>
      </c>
      <c r="U115" s="8" t="n">
        <v>0.132</v>
      </c>
      <c r="V115" s="6" t="s">
        <v>37</v>
      </c>
      <c r="W115" s="6" t="s">
        <v>38</v>
      </c>
    </row>
    <row r="116" customFormat="false" ht="48" hidden="false" customHeight="true" outlineLevel="0" collapsed="false">
      <c r="A116" s="4" t="n">
        <v>215</v>
      </c>
      <c r="B116" s="4" t="s">
        <v>800</v>
      </c>
      <c r="C116" s="5" t="s">
        <v>801</v>
      </c>
      <c r="D116" s="6"/>
      <c r="E116" s="6"/>
      <c r="F116" s="6" t="s">
        <v>802</v>
      </c>
      <c r="G116" s="6" t="s">
        <v>26</v>
      </c>
      <c r="H116" s="7" t="s">
        <v>619</v>
      </c>
      <c r="I116" s="7" t="s">
        <v>142</v>
      </c>
      <c r="J116" s="6" t="s">
        <v>803</v>
      </c>
      <c r="K116" s="6" t="s">
        <v>30</v>
      </c>
      <c r="L116" s="6"/>
      <c r="M116" s="6" t="s">
        <v>804</v>
      </c>
      <c r="N116" s="6" t="s">
        <v>805</v>
      </c>
      <c r="O116" s="6" t="s">
        <v>363</v>
      </c>
      <c r="P116" s="6" t="s">
        <v>500</v>
      </c>
      <c r="Q116" s="8" t="n">
        <v>0.22</v>
      </c>
      <c r="R116" s="6"/>
      <c r="S116" s="6" t="s">
        <v>35</v>
      </c>
      <c r="T116" s="6" t="s">
        <v>806</v>
      </c>
      <c r="U116" s="8" t="n">
        <v>0.145</v>
      </c>
      <c r="V116" s="6" t="s">
        <v>37</v>
      </c>
      <c r="W116" s="6" t="s">
        <v>38</v>
      </c>
    </row>
    <row r="117" customFormat="false" ht="48" hidden="false" customHeight="true" outlineLevel="0" collapsed="false">
      <c r="A117" s="4" t="n">
        <v>216</v>
      </c>
      <c r="B117" s="4" t="s">
        <v>807</v>
      </c>
      <c r="C117" s="5" t="s">
        <v>808</v>
      </c>
      <c r="D117" s="6"/>
      <c r="E117" s="6"/>
      <c r="F117" s="6" t="s">
        <v>809</v>
      </c>
      <c r="G117" s="6" t="s">
        <v>26</v>
      </c>
      <c r="H117" s="7" t="s">
        <v>619</v>
      </c>
      <c r="I117" s="7" t="s">
        <v>142</v>
      </c>
      <c r="J117" s="6" t="s">
        <v>810</v>
      </c>
      <c r="K117" s="6" t="s">
        <v>52</v>
      </c>
      <c r="L117" s="6"/>
      <c r="M117" s="6" t="s">
        <v>811</v>
      </c>
      <c r="N117" s="6" t="s">
        <v>757</v>
      </c>
      <c r="O117" s="6" t="s">
        <v>380</v>
      </c>
      <c r="P117" s="6" t="s">
        <v>310</v>
      </c>
      <c r="Q117" s="8" t="n">
        <v>0.311</v>
      </c>
      <c r="R117" s="6"/>
      <c r="S117" s="6" t="s">
        <v>46</v>
      </c>
      <c r="T117" s="6" t="s">
        <v>311</v>
      </c>
      <c r="U117" s="8" t="n">
        <v>0.339</v>
      </c>
      <c r="V117" s="6" t="s">
        <v>37</v>
      </c>
      <c r="W117" s="6" t="s">
        <v>38</v>
      </c>
    </row>
    <row r="118" customFormat="false" ht="48" hidden="false" customHeight="true" outlineLevel="0" collapsed="false">
      <c r="A118" s="4" t="n">
        <v>217</v>
      </c>
      <c r="B118" s="4" t="s">
        <v>812</v>
      </c>
      <c r="C118" s="5" t="s">
        <v>813</v>
      </c>
      <c r="D118" s="6"/>
      <c r="E118" s="6"/>
      <c r="F118" s="6" t="s">
        <v>814</v>
      </c>
      <c r="G118" s="6" t="s">
        <v>26</v>
      </c>
      <c r="H118" s="7" t="s">
        <v>619</v>
      </c>
      <c r="I118" s="7" t="s">
        <v>267</v>
      </c>
      <c r="J118" s="6" t="s">
        <v>815</v>
      </c>
      <c r="K118" s="6" t="s">
        <v>30</v>
      </c>
      <c r="L118" s="6"/>
      <c r="M118" s="6" t="s">
        <v>816</v>
      </c>
      <c r="N118" s="6" t="s">
        <v>805</v>
      </c>
      <c r="O118" s="6" t="s">
        <v>363</v>
      </c>
      <c r="P118" s="6" t="s">
        <v>758</v>
      </c>
      <c r="Q118" s="8" t="n">
        <v>0.432</v>
      </c>
      <c r="R118" s="6"/>
      <c r="S118" s="6" t="s">
        <v>35</v>
      </c>
      <c r="T118" s="6" t="s">
        <v>707</v>
      </c>
      <c r="U118" s="8" t="n">
        <v>0.25</v>
      </c>
      <c r="V118" s="6" t="s">
        <v>37</v>
      </c>
      <c r="W118" s="6" t="s">
        <v>38</v>
      </c>
    </row>
    <row r="119" customFormat="false" ht="48" hidden="false" customHeight="true" outlineLevel="0" collapsed="false">
      <c r="A119" s="4" t="n">
        <v>218</v>
      </c>
      <c r="B119" s="4" t="s">
        <v>817</v>
      </c>
      <c r="C119" s="5" t="s">
        <v>818</v>
      </c>
      <c r="D119" s="6"/>
      <c r="E119" s="6"/>
      <c r="F119" s="6" t="s">
        <v>819</v>
      </c>
      <c r="G119" s="6" t="s">
        <v>26</v>
      </c>
      <c r="H119" s="7" t="s">
        <v>619</v>
      </c>
      <c r="I119" s="7" t="s">
        <v>267</v>
      </c>
      <c r="J119" s="6" t="s">
        <v>820</v>
      </c>
      <c r="K119" s="6" t="s">
        <v>30</v>
      </c>
      <c r="L119" s="6"/>
      <c r="M119" s="6" t="s">
        <v>821</v>
      </c>
      <c r="N119" s="6" t="s">
        <v>805</v>
      </c>
      <c r="O119" s="6" t="s">
        <v>363</v>
      </c>
      <c r="P119" s="6" t="s">
        <v>500</v>
      </c>
      <c r="Q119" s="8" t="n">
        <v>0.261</v>
      </c>
      <c r="R119" s="6"/>
      <c r="S119" s="6" t="s">
        <v>35</v>
      </c>
      <c r="T119" s="6" t="s">
        <v>231</v>
      </c>
      <c r="U119" s="8" t="n">
        <v>0.18</v>
      </c>
      <c r="V119" s="6" t="s">
        <v>37</v>
      </c>
      <c r="W119" s="6" t="s">
        <v>38</v>
      </c>
    </row>
    <row r="120" customFormat="false" ht="48" hidden="false" customHeight="true" outlineLevel="0" collapsed="false">
      <c r="A120" s="4" t="n">
        <v>219</v>
      </c>
      <c r="B120" s="4" t="s">
        <v>822</v>
      </c>
      <c r="C120" s="6" t="s">
        <v>823</v>
      </c>
      <c r="D120" s="6"/>
      <c r="E120" s="6"/>
      <c r="F120" s="6" t="s">
        <v>824</v>
      </c>
      <c r="G120" s="6" t="s">
        <v>26</v>
      </c>
      <c r="H120" s="7" t="s">
        <v>619</v>
      </c>
      <c r="I120" s="7" t="s">
        <v>267</v>
      </c>
      <c r="J120" s="6" t="s">
        <v>825</v>
      </c>
      <c r="K120" s="6" t="s">
        <v>30</v>
      </c>
      <c r="L120" s="6"/>
      <c r="M120" s="6" t="s">
        <v>826</v>
      </c>
      <c r="N120" s="6" t="s">
        <v>805</v>
      </c>
      <c r="O120" s="6" t="s">
        <v>363</v>
      </c>
      <c r="P120" s="6" t="s">
        <v>758</v>
      </c>
      <c r="Q120" s="8" t="n">
        <v>0.26</v>
      </c>
      <c r="R120" s="6"/>
      <c r="S120" s="6" t="s">
        <v>35</v>
      </c>
      <c r="T120" s="6" t="s">
        <v>231</v>
      </c>
      <c r="U120" s="8" t="n">
        <v>0.153</v>
      </c>
      <c r="V120" s="6" t="s">
        <v>37</v>
      </c>
      <c r="W120" s="6" t="s">
        <v>38</v>
      </c>
    </row>
    <row r="121" customFormat="false" ht="48" hidden="false" customHeight="true" outlineLevel="0" collapsed="false">
      <c r="A121" s="4" t="n">
        <v>220</v>
      </c>
      <c r="B121" s="4" t="s">
        <v>827</v>
      </c>
      <c r="C121" s="5" t="s">
        <v>828</v>
      </c>
      <c r="D121" s="6"/>
      <c r="E121" s="6"/>
      <c r="F121" s="6" t="s">
        <v>829</v>
      </c>
      <c r="G121" s="6" t="s">
        <v>26</v>
      </c>
      <c r="H121" s="7" t="s">
        <v>619</v>
      </c>
      <c r="I121" s="7" t="s">
        <v>267</v>
      </c>
      <c r="J121" s="6" t="s">
        <v>830</v>
      </c>
      <c r="K121" s="6" t="s">
        <v>30</v>
      </c>
      <c r="L121" s="6"/>
      <c r="M121" s="6" t="s">
        <v>831</v>
      </c>
      <c r="N121" s="6" t="s">
        <v>805</v>
      </c>
      <c r="O121" s="6" t="s">
        <v>363</v>
      </c>
      <c r="P121" s="6" t="s">
        <v>582</v>
      </c>
      <c r="Q121" s="8" t="n">
        <v>0.432</v>
      </c>
      <c r="R121" s="6"/>
      <c r="S121" s="6" t="s">
        <v>35</v>
      </c>
      <c r="T121" s="6" t="s">
        <v>832</v>
      </c>
      <c r="U121" s="8" t="n">
        <v>0.122</v>
      </c>
      <c r="V121" s="6" t="s">
        <v>37</v>
      </c>
      <c r="W121" s="6" t="s">
        <v>38</v>
      </c>
    </row>
    <row r="122" customFormat="false" ht="48" hidden="false" customHeight="true" outlineLevel="0" collapsed="false">
      <c r="A122" s="4" t="n">
        <v>221</v>
      </c>
      <c r="B122" s="4" t="s">
        <v>833</v>
      </c>
      <c r="C122" s="6" t="s">
        <v>834</v>
      </c>
      <c r="D122" s="6"/>
      <c r="E122" s="6"/>
      <c r="F122" s="6" t="s">
        <v>835</v>
      </c>
      <c r="G122" s="6" t="s">
        <v>26</v>
      </c>
      <c r="H122" s="7" t="s">
        <v>619</v>
      </c>
      <c r="I122" s="7" t="s">
        <v>267</v>
      </c>
      <c r="J122" s="6" t="s">
        <v>836</v>
      </c>
      <c r="K122" s="6" t="s">
        <v>30</v>
      </c>
      <c r="L122" s="6"/>
      <c r="M122" s="6" t="s">
        <v>837</v>
      </c>
      <c r="N122" s="6" t="s">
        <v>775</v>
      </c>
      <c r="O122" s="6" t="s">
        <v>363</v>
      </c>
      <c r="P122" s="6" t="s">
        <v>758</v>
      </c>
      <c r="Q122" s="8" t="n">
        <v>0.417</v>
      </c>
      <c r="R122" s="6"/>
      <c r="S122" s="6" t="s">
        <v>46</v>
      </c>
      <c r="T122" s="6" t="s">
        <v>416</v>
      </c>
      <c r="U122" s="8" t="n">
        <v>0.211</v>
      </c>
      <c r="V122" s="6" t="s">
        <v>37</v>
      </c>
      <c r="W122" s="6" t="s">
        <v>38</v>
      </c>
    </row>
    <row r="123" customFormat="false" ht="48" hidden="false" customHeight="true" outlineLevel="0" collapsed="false">
      <c r="A123" s="4" t="n">
        <v>222</v>
      </c>
      <c r="B123" s="4" t="s">
        <v>838</v>
      </c>
      <c r="C123" s="5" t="s">
        <v>839</v>
      </c>
      <c r="D123" s="6"/>
      <c r="E123" s="6"/>
      <c r="F123" s="6" t="s">
        <v>840</v>
      </c>
      <c r="G123" s="6" t="s">
        <v>26</v>
      </c>
      <c r="H123" s="7" t="s">
        <v>619</v>
      </c>
      <c r="I123" s="7" t="s">
        <v>267</v>
      </c>
      <c r="J123" s="6" t="s">
        <v>841</v>
      </c>
      <c r="K123" s="6" t="s">
        <v>30</v>
      </c>
      <c r="L123" s="6"/>
      <c r="M123" s="6" t="s">
        <v>842</v>
      </c>
      <c r="N123" s="6" t="s">
        <v>775</v>
      </c>
      <c r="O123" s="6" t="s">
        <v>363</v>
      </c>
      <c r="P123" s="6" t="s">
        <v>156</v>
      </c>
      <c r="Q123" s="8" t="n">
        <v>0.259</v>
      </c>
      <c r="R123" s="6"/>
      <c r="S123" s="6" t="s">
        <v>46</v>
      </c>
      <c r="T123" s="6" t="s">
        <v>157</v>
      </c>
      <c r="U123" s="8" t="n">
        <v>0.17</v>
      </c>
      <c r="V123" s="6" t="s">
        <v>37</v>
      </c>
      <c r="W123" s="6" t="s">
        <v>38</v>
      </c>
    </row>
    <row r="124" customFormat="false" ht="48" hidden="false" customHeight="true" outlineLevel="0" collapsed="false">
      <c r="A124" s="4" t="n">
        <v>223</v>
      </c>
      <c r="B124" s="4" t="s">
        <v>843</v>
      </c>
      <c r="C124" s="5" t="s">
        <v>844</v>
      </c>
      <c r="D124" s="6"/>
      <c r="E124" s="6"/>
      <c r="F124" s="6" t="s">
        <v>845</v>
      </c>
      <c r="G124" s="6" t="s">
        <v>26</v>
      </c>
      <c r="H124" s="7" t="s">
        <v>619</v>
      </c>
      <c r="I124" s="7" t="s">
        <v>267</v>
      </c>
      <c r="J124" s="6" t="s">
        <v>846</v>
      </c>
      <c r="K124" s="6" t="s">
        <v>52</v>
      </c>
      <c r="L124" s="6"/>
      <c r="M124" s="6" t="s">
        <v>847</v>
      </c>
      <c r="N124" s="6" t="s">
        <v>757</v>
      </c>
      <c r="O124" s="6" t="s">
        <v>380</v>
      </c>
      <c r="P124" s="6" t="s">
        <v>132</v>
      </c>
      <c r="Q124" s="8" t="n">
        <v>0.29</v>
      </c>
      <c r="R124" s="6"/>
      <c r="S124" s="6" t="s">
        <v>46</v>
      </c>
      <c r="T124" s="6" t="s">
        <v>311</v>
      </c>
      <c r="U124" s="8" t="n">
        <v>0.262</v>
      </c>
      <c r="V124" s="6" t="s">
        <v>37</v>
      </c>
      <c r="W124" s="6" t="s">
        <v>38</v>
      </c>
    </row>
    <row r="125" customFormat="false" ht="48" hidden="false" customHeight="true" outlineLevel="0" collapsed="false">
      <c r="A125" s="4" t="n">
        <v>224</v>
      </c>
      <c r="B125" s="4" t="s">
        <v>848</v>
      </c>
      <c r="C125" s="5" t="s">
        <v>849</v>
      </c>
      <c r="D125" s="6"/>
      <c r="E125" s="6"/>
      <c r="F125" s="6" t="s">
        <v>850</v>
      </c>
      <c r="G125" s="6" t="s">
        <v>26</v>
      </c>
      <c r="H125" s="7" t="s">
        <v>619</v>
      </c>
      <c r="I125" s="7" t="s">
        <v>267</v>
      </c>
      <c r="J125" s="6" t="s">
        <v>851</v>
      </c>
      <c r="K125" s="6" t="s">
        <v>52</v>
      </c>
      <c r="L125" s="6"/>
      <c r="M125" s="6" t="s">
        <v>852</v>
      </c>
      <c r="N125" s="6" t="s">
        <v>757</v>
      </c>
      <c r="O125" s="6" t="s">
        <v>380</v>
      </c>
      <c r="P125" s="6" t="s">
        <v>100</v>
      </c>
      <c r="Q125" s="8" t="n">
        <v>0.281</v>
      </c>
      <c r="R125" s="6"/>
      <c r="S125" s="6" t="s">
        <v>46</v>
      </c>
      <c r="T125" s="6" t="s">
        <v>311</v>
      </c>
      <c r="U125" s="8" t="n">
        <v>0.283</v>
      </c>
      <c r="V125" s="6" t="s">
        <v>37</v>
      </c>
      <c r="W125" s="6" t="s">
        <v>38</v>
      </c>
    </row>
    <row r="126" customFormat="false" ht="48" hidden="false" customHeight="true" outlineLevel="0" collapsed="false">
      <c r="A126" s="4" t="n">
        <v>225</v>
      </c>
      <c r="B126" s="4" t="s">
        <v>853</v>
      </c>
      <c r="C126" s="6" t="s">
        <v>854</v>
      </c>
      <c r="D126" s="6"/>
      <c r="E126" s="6"/>
      <c r="F126" s="6" t="s">
        <v>855</v>
      </c>
      <c r="G126" s="6" t="s">
        <v>26</v>
      </c>
      <c r="H126" s="7" t="s">
        <v>619</v>
      </c>
      <c r="I126" s="7" t="s">
        <v>267</v>
      </c>
      <c r="J126" s="6" t="s">
        <v>856</v>
      </c>
      <c r="K126" s="6" t="s">
        <v>30</v>
      </c>
      <c r="L126" s="6"/>
      <c r="M126" s="6" t="s">
        <v>857</v>
      </c>
      <c r="N126" s="6" t="s">
        <v>775</v>
      </c>
      <c r="O126" s="6" t="s">
        <v>363</v>
      </c>
      <c r="P126" s="6" t="s">
        <v>582</v>
      </c>
      <c r="Q126" s="8" t="n">
        <v>0.581</v>
      </c>
      <c r="R126" s="6"/>
      <c r="S126" s="6" t="s">
        <v>46</v>
      </c>
      <c r="T126" s="6" t="s">
        <v>624</v>
      </c>
      <c r="U126" s="8" t="n">
        <v>0.225</v>
      </c>
      <c r="V126" s="10" t="s">
        <v>78</v>
      </c>
      <c r="W126" s="6" t="s">
        <v>858</v>
      </c>
    </row>
    <row r="127" customFormat="false" ht="48" hidden="false" customHeight="true" outlineLevel="0" collapsed="false">
      <c r="A127" s="4" t="n">
        <v>226</v>
      </c>
      <c r="B127" s="4" t="s">
        <v>859</v>
      </c>
      <c r="C127" s="6" t="s">
        <v>860</v>
      </c>
      <c r="D127" s="6"/>
      <c r="E127" s="6"/>
      <c r="F127" s="6" t="s">
        <v>861</v>
      </c>
      <c r="G127" s="6" t="s">
        <v>26</v>
      </c>
      <c r="H127" s="7" t="s">
        <v>619</v>
      </c>
      <c r="I127" s="7" t="s">
        <v>267</v>
      </c>
      <c r="J127" s="6" t="s">
        <v>862</v>
      </c>
      <c r="K127" s="6" t="s">
        <v>30</v>
      </c>
      <c r="L127" s="6"/>
      <c r="M127" s="6" t="s">
        <v>863</v>
      </c>
      <c r="N127" s="6" t="s">
        <v>775</v>
      </c>
      <c r="O127" s="6" t="s">
        <v>363</v>
      </c>
      <c r="P127" s="6" t="s">
        <v>758</v>
      </c>
      <c r="Q127" s="8" t="n">
        <v>0.255</v>
      </c>
      <c r="R127" s="6"/>
      <c r="S127" s="6" t="s">
        <v>46</v>
      </c>
      <c r="T127" s="6" t="s">
        <v>231</v>
      </c>
      <c r="U127" s="8" t="n">
        <v>0.169</v>
      </c>
      <c r="V127" s="6" t="s">
        <v>37</v>
      </c>
      <c r="W127" s="6" t="s">
        <v>38</v>
      </c>
    </row>
    <row r="128" customFormat="false" ht="48" hidden="false" customHeight="true" outlineLevel="0" collapsed="false">
      <c r="A128" s="4" t="n">
        <v>227</v>
      </c>
      <c r="B128" s="4" t="s">
        <v>864</v>
      </c>
      <c r="C128" s="5" t="s">
        <v>865</v>
      </c>
      <c r="D128" s="6"/>
      <c r="E128" s="6"/>
      <c r="F128" s="6" t="s">
        <v>866</v>
      </c>
      <c r="G128" s="6" t="s">
        <v>26</v>
      </c>
      <c r="H128" s="7" t="s">
        <v>619</v>
      </c>
      <c r="I128" s="7" t="s">
        <v>267</v>
      </c>
      <c r="J128" s="6" t="s">
        <v>867</v>
      </c>
      <c r="K128" s="6" t="s">
        <v>30</v>
      </c>
      <c r="L128" s="6"/>
      <c r="M128" s="6" t="s">
        <v>868</v>
      </c>
      <c r="N128" s="6" t="s">
        <v>775</v>
      </c>
      <c r="O128" s="6" t="s">
        <v>363</v>
      </c>
      <c r="P128" s="6" t="s">
        <v>156</v>
      </c>
      <c r="Q128" s="8" t="n">
        <v>0.296</v>
      </c>
      <c r="R128" s="6"/>
      <c r="S128" s="6" t="s">
        <v>46</v>
      </c>
      <c r="T128" s="6" t="s">
        <v>157</v>
      </c>
      <c r="U128" s="8" t="n">
        <v>0.123</v>
      </c>
      <c r="V128" s="6" t="s">
        <v>37</v>
      </c>
      <c r="W128" s="6" t="s">
        <v>38</v>
      </c>
    </row>
    <row r="129" customFormat="false" ht="48" hidden="false" customHeight="true" outlineLevel="0" collapsed="false">
      <c r="A129" s="4" t="n">
        <v>228</v>
      </c>
      <c r="B129" s="4" t="s">
        <v>869</v>
      </c>
      <c r="C129" s="6" t="s">
        <v>870</v>
      </c>
      <c r="D129" s="6"/>
      <c r="E129" s="6"/>
      <c r="F129" s="6" t="s">
        <v>871</v>
      </c>
      <c r="G129" s="6" t="s">
        <v>26</v>
      </c>
      <c r="H129" s="7" t="s">
        <v>619</v>
      </c>
      <c r="I129" s="7" t="s">
        <v>267</v>
      </c>
      <c r="J129" s="6" t="s">
        <v>872</v>
      </c>
      <c r="K129" s="6" t="s">
        <v>30</v>
      </c>
      <c r="L129" s="6"/>
      <c r="M129" s="6" t="s">
        <v>873</v>
      </c>
      <c r="N129" s="6" t="s">
        <v>775</v>
      </c>
      <c r="O129" s="6" t="s">
        <v>363</v>
      </c>
      <c r="P129" s="6" t="s">
        <v>582</v>
      </c>
      <c r="Q129" s="8" t="n">
        <v>0.431</v>
      </c>
      <c r="R129" s="6"/>
      <c r="S129" s="6" t="s">
        <v>46</v>
      </c>
      <c r="T129" s="6" t="s">
        <v>707</v>
      </c>
      <c r="U129" s="8" t="n">
        <v>0.115</v>
      </c>
      <c r="V129" s="6" t="s">
        <v>37</v>
      </c>
      <c r="W129" s="6" t="s">
        <v>38</v>
      </c>
    </row>
    <row r="130" customFormat="false" ht="48" hidden="false" customHeight="true" outlineLevel="0" collapsed="false">
      <c r="A130" s="4" t="n">
        <v>229</v>
      </c>
      <c r="B130" s="4" t="s">
        <v>874</v>
      </c>
      <c r="C130" s="5" t="s">
        <v>875</v>
      </c>
      <c r="D130" s="6"/>
      <c r="E130" s="6"/>
      <c r="F130" s="6" t="s">
        <v>876</v>
      </c>
      <c r="G130" s="6" t="s">
        <v>26</v>
      </c>
      <c r="H130" s="7" t="s">
        <v>619</v>
      </c>
      <c r="I130" s="7" t="s">
        <v>267</v>
      </c>
      <c r="J130" s="6" t="s">
        <v>877</v>
      </c>
      <c r="K130" s="6" t="s">
        <v>52</v>
      </c>
      <c r="L130" s="6"/>
      <c r="M130" s="6" t="s">
        <v>878</v>
      </c>
      <c r="N130" s="6" t="s">
        <v>751</v>
      </c>
      <c r="O130" s="6" t="s">
        <v>380</v>
      </c>
      <c r="P130" s="6" t="s">
        <v>310</v>
      </c>
      <c r="Q130" s="8" t="n">
        <v>0.343</v>
      </c>
      <c r="R130" s="6"/>
      <c r="S130" s="6" t="s">
        <v>46</v>
      </c>
      <c r="T130" s="6" t="s">
        <v>311</v>
      </c>
      <c r="U130" s="8" t="n">
        <v>0.385</v>
      </c>
      <c r="V130" s="6" t="s">
        <v>37</v>
      </c>
      <c r="W130" s="6" t="s">
        <v>38</v>
      </c>
    </row>
    <row r="131" customFormat="false" ht="48" hidden="false" customHeight="true" outlineLevel="0" collapsed="false">
      <c r="A131" s="4" t="n">
        <v>230</v>
      </c>
      <c r="B131" s="4" t="s">
        <v>879</v>
      </c>
      <c r="C131" s="5" t="s">
        <v>880</v>
      </c>
      <c r="D131" s="6"/>
      <c r="E131" s="6"/>
      <c r="F131" s="6" t="s">
        <v>881</v>
      </c>
      <c r="G131" s="6" t="s">
        <v>26</v>
      </c>
      <c r="H131" s="7" t="s">
        <v>882</v>
      </c>
      <c r="I131" s="7" t="s">
        <v>28</v>
      </c>
      <c r="J131" s="6" t="s">
        <v>620</v>
      </c>
      <c r="K131" s="6" t="s">
        <v>30</v>
      </c>
      <c r="L131" s="6"/>
      <c r="M131" s="6" t="s">
        <v>883</v>
      </c>
      <c r="N131" s="6" t="s">
        <v>884</v>
      </c>
      <c r="O131" s="6" t="s">
        <v>363</v>
      </c>
      <c r="P131" s="6" t="s">
        <v>695</v>
      </c>
      <c r="Q131" s="8" t="n">
        <v>0.846</v>
      </c>
      <c r="R131" s="6"/>
      <c r="S131" s="6" t="s">
        <v>35</v>
      </c>
      <c r="T131" s="6" t="s">
        <v>624</v>
      </c>
      <c r="U131" s="8" t="n">
        <v>0.389</v>
      </c>
      <c r="V131" s="10" t="s">
        <v>78</v>
      </c>
      <c r="W131" s="6" t="s">
        <v>885</v>
      </c>
    </row>
    <row r="132" customFormat="false" ht="48" hidden="false" customHeight="true" outlineLevel="0" collapsed="false">
      <c r="A132" s="4" t="n">
        <v>231</v>
      </c>
      <c r="B132" s="4" t="s">
        <v>886</v>
      </c>
      <c r="C132" s="5" t="s">
        <v>887</v>
      </c>
      <c r="D132" s="6"/>
      <c r="E132" s="6"/>
      <c r="F132" s="6" t="s">
        <v>888</v>
      </c>
      <c r="G132" s="6" t="s">
        <v>26</v>
      </c>
      <c r="H132" s="7" t="s">
        <v>882</v>
      </c>
      <c r="I132" s="7" t="s">
        <v>28</v>
      </c>
      <c r="J132" s="6" t="s">
        <v>889</v>
      </c>
      <c r="K132" s="6" t="s">
        <v>30</v>
      </c>
      <c r="L132" s="6"/>
      <c r="M132" s="6" t="s">
        <v>890</v>
      </c>
      <c r="N132" s="6" t="s">
        <v>884</v>
      </c>
      <c r="O132" s="6" t="s">
        <v>363</v>
      </c>
      <c r="P132" s="6" t="s">
        <v>891</v>
      </c>
      <c r="Q132" s="8" t="n">
        <v>0.5</v>
      </c>
      <c r="R132" s="6"/>
      <c r="S132" s="6" t="s">
        <v>35</v>
      </c>
      <c r="T132" s="6" t="s">
        <v>675</v>
      </c>
      <c r="U132" s="8" t="n">
        <v>0.44</v>
      </c>
      <c r="V132" s="10" t="s">
        <v>78</v>
      </c>
      <c r="W132" s="6" t="s">
        <v>892</v>
      </c>
    </row>
    <row r="133" customFormat="false" ht="48" hidden="false" customHeight="true" outlineLevel="0" collapsed="false">
      <c r="A133" s="4" t="n">
        <v>232</v>
      </c>
      <c r="B133" s="4" t="s">
        <v>893</v>
      </c>
      <c r="C133" s="5" t="s">
        <v>894</v>
      </c>
      <c r="D133" s="6"/>
      <c r="E133" s="6"/>
      <c r="F133" s="6" t="s">
        <v>895</v>
      </c>
      <c r="G133" s="6" t="s">
        <v>26</v>
      </c>
      <c r="H133" s="7" t="s">
        <v>882</v>
      </c>
      <c r="I133" s="7" t="s">
        <v>28</v>
      </c>
      <c r="J133" s="6" t="s">
        <v>896</v>
      </c>
      <c r="K133" s="6" t="s">
        <v>30</v>
      </c>
      <c r="L133" s="6"/>
      <c r="M133" s="6" t="s">
        <v>897</v>
      </c>
      <c r="N133" s="6" t="s">
        <v>884</v>
      </c>
      <c r="O133" s="6" t="s">
        <v>363</v>
      </c>
      <c r="P133" s="6" t="s">
        <v>898</v>
      </c>
      <c r="Q133" s="8" t="n">
        <v>0.269</v>
      </c>
      <c r="R133" s="6"/>
      <c r="S133" s="6" t="s">
        <v>35</v>
      </c>
      <c r="T133" s="6" t="s">
        <v>899</v>
      </c>
      <c r="U133" s="8" t="n">
        <v>0.28</v>
      </c>
      <c r="V133" s="6" t="s">
        <v>37</v>
      </c>
      <c r="W133" s="6" t="s">
        <v>38</v>
      </c>
    </row>
    <row r="134" customFormat="false" ht="48" hidden="false" customHeight="true" outlineLevel="0" collapsed="false">
      <c r="A134" s="4" t="n">
        <v>233</v>
      </c>
      <c r="B134" s="4" t="s">
        <v>900</v>
      </c>
      <c r="C134" s="5" t="s">
        <v>901</v>
      </c>
      <c r="D134" s="6"/>
      <c r="E134" s="6"/>
      <c r="F134" s="6" t="s">
        <v>902</v>
      </c>
      <c r="G134" s="6" t="s">
        <v>26</v>
      </c>
      <c r="H134" s="7" t="s">
        <v>882</v>
      </c>
      <c r="I134" s="7" t="s">
        <v>28</v>
      </c>
      <c r="J134" s="6" t="s">
        <v>903</v>
      </c>
      <c r="K134" s="6" t="s">
        <v>30</v>
      </c>
      <c r="L134" s="6"/>
      <c r="M134" s="6" t="s">
        <v>904</v>
      </c>
      <c r="N134" s="6" t="s">
        <v>884</v>
      </c>
      <c r="O134" s="6" t="s">
        <v>363</v>
      </c>
      <c r="P134" s="6" t="s">
        <v>905</v>
      </c>
      <c r="Q134" s="8" t="n">
        <v>0.474</v>
      </c>
      <c r="R134" s="6"/>
      <c r="S134" s="6" t="s">
        <v>35</v>
      </c>
      <c r="T134" s="6" t="s">
        <v>899</v>
      </c>
      <c r="U134" s="8" t="n">
        <v>0.273</v>
      </c>
      <c r="V134" s="6" t="s">
        <v>37</v>
      </c>
      <c r="W134" s="6" t="s">
        <v>38</v>
      </c>
    </row>
    <row r="135" customFormat="false" ht="48" hidden="false" customHeight="true" outlineLevel="0" collapsed="false">
      <c r="A135" s="4" t="n">
        <v>234</v>
      </c>
      <c r="B135" s="4" t="s">
        <v>906</v>
      </c>
      <c r="C135" s="5" t="s">
        <v>907</v>
      </c>
      <c r="D135" s="6"/>
      <c r="E135" s="6"/>
      <c r="F135" s="6" t="s">
        <v>908</v>
      </c>
      <c r="G135" s="6" t="s">
        <v>26</v>
      </c>
      <c r="H135" s="7" t="s">
        <v>882</v>
      </c>
      <c r="I135" s="7" t="s">
        <v>28</v>
      </c>
      <c r="J135" s="6" t="s">
        <v>909</v>
      </c>
      <c r="K135" s="6" t="s">
        <v>30</v>
      </c>
      <c r="L135" s="6"/>
      <c r="M135" s="6" t="s">
        <v>910</v>
      </c>
      <c r="N135" s="6" t="s">
        <v>911</v>
      </c>
      <c r="O135" s="6" t="s">
        <v>363</v>
      </c>
      <c r="P135" s="6" t="s">
        <v>695</v>
      </c>
      <c r="Q135" s="8" t="n">
        <v>0.588</v>
      </c>
      <c r="R135" s="6"/>
      <c r="S135" s="6" t="s">
        <v>46</v>
      </c>
      <c r="T135" s="6" t="s">
        <v>832</v>
      </c>
      <c r="U135" s="8" t="n">
        <v>0.304</v>
      </c>
      <c r="V135" s="10" t="s">
        <v>78</v>
      </c>
      <c r="W135" s="6" t="s">
        <v>912</v>
      </c>
    </row>
    <row r="136" customFormat="false" ht="48" hidden="false" customHeight="true" outlineLevel="0" collapsed="false">
      <c r="A136" s="4" t="n">
        <v>235</v>
      </c>
      <c r="B136" s="4" t="s">
        <v>913</v>
      </c>
      <c r="C136" s="5" t="s">
        <v>914</v>
      </c>
      <c r="D136" s="6"/>
      <c r="E136" s="6"/>
      <c r="F136" s="6" t="s">
        <v>915</v>
      </c>
      <c r="G136" s="6" t="s">
        <v>26</v>
      </c>
      <c r="H136" s="7" t="s">
        <v>882</v>
      </c>
      <c r="I136" s="7" t="s">
        <v>28</v>
      </c>
      <c r="J136" s="6" t="s">
        <v>916</v>
      </c>
      <c r="K136" s="6" t="s">
        <v>30</v>
      </c>
      <c r="L136" s="6"/>
      <c r="M136" s="6" t="s">
        <v>917</v>
      </c>
      <c r="N136" s="6" t="s">
        <v>911</v>
      </c>
      <c r="O136" s="6" t="s">
        <v>363</v>
      </c>
      <c r="P136" s="6" t="s">
        <v>695</v>
      </c>
      <c r="Q136" s="8" t="n">
        <v>0.16</v>
      </c>
      <c r="R136" s="6"/>
      <c r="S136" s="6" t="s">
        <v>46</v>
      </c>
      <c r="T136" s="6" t="s">
        <v>918</v>
      </c>
      <c r="U136" s="8" t="n">
        <v>0.167</v>
      </c>
      <c r="V136" s="6" t="s">
        <v>37</v>
      </c>
      <c r="W136" s="6" t="s">
        <v>38</v>
      </c>
    </row>
    <row r="137" customFormat="false" ht="48" hidden="false" customHeight="true" outlineLevel="0" collapsed="false">
      <c r="A137" s="4" t="n">
        <v>236</v>
      </c>
      <c r="B137" s="4" t="s">
        <v>919</v>
      </c>
      <c r="C137" s="6" t="s">
        <v>920</v>
      </c>
      <c r="D137" s="6"/>
      <c r="E137" s="6"/>
      <c r="F137" s="6" t="s">
        <v>921</v>
      </c>
      <c r="G137" s="6" t="s">
        <v>26</v>
      </c>
      <c r="H137" s="7" t="s">
        <v>882</v>
      </c>
      <c r="I137" s="7" t="s">
        <v>28</v>
      </c>
      <c r="J137" s="6" t="s">
        <v>922</v>
      </c>
      <c r="K137" s="6" t="s">
        <v>52</v>
      </c>
      <c r="L137" s="6"/>
      <c r="M137" s="6" t="s">
        <v>923</v>
      </c>
      <c r="N137" s="6" t="s">
        <v>924</v>
      </c>
      <c r="O137" s="6" t="s">
        <v>380</v>
      </c>
      <c r="P137" s="6" t="s">
        <v>132</v>
      </c>
      <c r="Q137" s="8" t="n">
        <v>0.353</v>
      </c>
      <c r="R137" s="6"/>
      <c r="S137" s="6" t="s">
        <v>46</v>
      </c>
      <c r="T137" s="6" t="s">
        <v>311</v>
      </c>
      <c r="U137" s="8" t="n">
        <v>0.32</v>
      </c>
      <c r="V137" s="9" t="s">
        <v>58</v>
      </c>
      <c r="W137" s="6" t="s">
        <v>59</v>
      </c>
    </row>
    <row r="138" customFormat="false" ht="48" hidden="false" customHeight="true" outlineLevel="0" collapsed="false">
      <c r="A138" s="4" t="n">
        <v>237</v>
      </c>
      <c r="B138" s="4" t="s">
        <v>925</v>
      </c>
      <c r="C138" s="6" t="s">
        <v>926</v>
      </c>
      <c r="D138" s="6"/>
      <c r="E138" s="6"/>
      <c r="F138" s="6" t="s">
        <v>927</v>
      </c>
      <c r="G138" s="6" t="s">
        <v>26</v>
      </c>
      <c r="H138" s="7" t="s">
        <v>882</v>
      </c>
      <c r="I138" s="7" t="s">
        <v>28</v>
      </c>
      <c r="J138" s="6" t="s">
        <v>928</v>
      </c>
      <c r="K138" s="6" t="s">
        <v>52</v>
      </c>
      <c r="L138" s="6"/>
      <c r="M138" s="6" t="s">
        <v>929</v>
      </c>
      <c r="N138" s="6" t="s">
        <v>924</v>
      </c>
      <c r="O138" s="6" t="s">
        <v>380</v>
      </c>
      <c r="P138" s="6" t="s">
        <v>100</v>
      </c>
      <c r="Q138" s="8" t="n">
        <v>0.375</v>
      </c>
      <c r="R138" s="6"/>
      <c r="S138" s="6" t="s">
        <v>46</v>
      </c>
      <c r="T138" s="6" t="s">
        <v>311</v>
      </c>
      <c r="U138" s="8" t="n">
        <v>0.386</v>
      </c>
      <c r="V138" s="9" t="s">
        <v>58</v>
      </c>
      <c r="W138" s="6" t="s">
        <v>59</v>
      </c>
    </row>
    <row r="139" customFormat="false" ht="48" hidden="false" customHeight="true" outlineLevel="0" collapsed="false">
      <c r="A139" s="4" t="n">
        <v>238</v>
      </c>
      <c r="B139" s="4" t="s">
        <v>930</v>
      </c>
      <c r="C139" s="5" t="s">
        <v>931</v>
      </c>
      <c r="D139" s="6"/>
      <c r="E139" s="6"/>
      <c r="F139" s="6" t="s">
        <v>932</v>
      </c>
      <c r="G139" s="6" t="s">
        <v>26</v>
      </c>
      <c r="H139" s="7" t="s">
        <v>882</v>
      </c>
      <c r="I139" s="7" t="s">
        <v>28</v>
      </c>
      <c r="J139" s="6" t="s">
        <v>933</v>
      </c>
      <c r="K139" s="6" t="s">
        <v>658</v>
      </c>
      <c r="L139" s="6"/>
      <c r="M139" s="6" t="s">
        <v>934</v>
      </c>
      <c r="N139" s="6" t="s">
        <v>935</v>
      </c>
      <c r="O139" s="6" t="s">
        <v>661</v>
      </c>
      <c r="P139" s="6" t="s">
        <v>905</v>
      </c>
      <c r="Q139" s="8" t="n">
        <v>0.467</v>
      </c>
      <c r="R139" s="6"/>
      <c r="S139" s="6" t="s">
        <v>35</v>
      </c>
      <c r="T139" s="6" t="s">
        <v>899</v>
      </c>
      <c r="U139" s="8" t="n">
        <v>0.222</v>
      </c>
      <c r="V139" s="9" t="s">
        <v>58</v>
      </c>
      <c r="W139" s="6" t="s">
        <v>59</v>
      </c>
    </row>
    <row r="140" customFormat="false" ht="48" hidden="false" customHeight="true" outlineLevel="0" collapsed="false">
      <c r="A140" s="4" t="n">
        <v>239</v>
      </c>
      <c r="B140" s="4" t="s">
        <v>936</v>
      </c>
      <c r="C140" s="5" t="s">
        <v>937</v>
      </c>
      <c r="D140" s="6"/>
      <c r="E140" s="6"/>
      <c r="F140" s="6" t="s">
        <v>938</v>
      </c>
      <c r="G140" s="6" t="s">
        <v>26</v>
      </c>
      <c r="H140" s="7" t="s">
        <v>882</v>
      </c>
      <c r="I140" s="7" t="s">
        <v>28</v>
      </c>
      <c r="J140" s="6" t="s">
        <v>939</v>
      </c>
      <c r="K140" s="6" t="s">
        <v>30</v>
      </c>
      <c r="L140" s="6"/>
      <c r="M140" s="6" t="s">
        <v>940</v>
      </c>
      <c r="N140" s="6" t="s">
        <v>911</v>
      </c>
      <c r="O140" s="6" t="s">
        <v>363</v>
      </c>
      <c r="P140" s="6" t="s">
        <v>695</v>
      </c>
      <c r="Q140" s="8" t="n">
        <v>0.381</v>
      </c>
      <c r="R140" s="6"/>
      <c r="S140" s="6" t="s">
        <v>46</v>
      </c>
      <c r="T140" s="6" t="s">
        <v>624</v>
      </c>
      <c r="U140" s="8" t="n">
        <v>0.25</v>
      </c>
      <c r="V140" s="6" t="s">
        <v>37</v>
      </c>
      <c r="W140" s="6" t="s">
        <v>38</v>
      </c>
    </row>
    <row r="141" customFormat="false" ht="48" hidden="false" customHeight="true" outlineLevel="0" collapsed="false">
      <c r="A141" s="4" t="n">
        <v>240</v>
      </c>
      <c r="B141" s="4" t="s">
        <v>941</v>
      </c>
      <c r="C141" s="5" t="s">
        <v>942</v>
      </c>
      <c r="D141" s="6"/>
      <c r="E141" s="6"/>
      <c r="F141" s="6" t="s">
        <v>943</v>
      </c>
      <c r="G141" s="6" t="s">
        <v>26</v>
      </c>
      <c r="H141" s="7" t="s">
        <v>882</v>
      </c>
      <c r="I141" s="7" t="s">
        <v>28</v>
      </c>
      <c r="J141" s="6" t="s">
        <v>944</v>
      </c>
      <c r="K141" s="6" t="s">
        <v>30</v>
      </c>
      <c r="L141" s="6"/>
      <c r="M141" s="6" t="s">
        <v>945</v>
      </c>
      <c r="N141" s="6" t="s">
        <v>911</v>
      </c>
      <c r="O141" s="6" t="s">
        <v>363</v>
      </c>
      <c r="P141" s="6" t="s">
        <v>695</v>
      </c>
      <c r="Q141" s="8" t="n">
        <v>0.129</v>
      </c>
      <c r="R141" s="6"/>
      <c r="S141" s="6" t="s">
        <v>46</v>
      </c>
      <c r="T141" s="6" t="s">
        <v>918</v>
      </c>
      <c r="U141" s="8" t="n">
        <v>0.133</v>
      </c>
      <c r="V141" s="6" t="s">
        <v>37</v>
      </c>
      <c r="W141" s="6" t="s">
        <v>38</v>
      </c>
    </row>
    <row r="142" customFormat="false" ht="48" hidden="false" customHeight="true" outlineLevel="0" collapsed="false">
      <c r="A142" s="4" t="n">
        <v>241</v>
      </c>
      <c r="B142" s="4" t="s">
        <v>946</v>
      </c>
      <c r="C142" s="5" t="s">
        <v>947</v>
      </c>
      <c r="D142" s="6"/>
      <c r="E142" s="6"/>
      <c r="F142" s="6" t="s">
        <v>948</v>
      </c>
      <c r="G142" s="6" t="s">
        <v>26</v>
      </c>
      <c r="H142" s="7" t="s">
        <v>882</v>
      </c>
      <c r="I142" s="7" t="s">
        <v>28</v>
      </c>
      <c r="J142" s="6" t="s">
        <v>949</v>
      </c>
      <c r="K142" s="6" t="s">
        <v>30</v>
      </c>
      <c r="L142" s="6"/>
      <c r="M142" s="6" t="s">
        <v>950</v>
      </c>
      <c r="N142" s="6" t="s">
        <v>911</v>
      </c>
      <c r="O142" s="6" t="s">
        <v>363</v>
      </c>
      <c r="P142" s="6" t="s">
        <v>951</v>
      </c>
      <c r="Q142" s="8" t="n">
        <v>0.308</v>
      </c>
      <c r="R142" s="6"/>
      <c r="S142" s="6" t="s">
        <v>46</v>
      </c>
      <c r="T142" s="6" t="s">
        <v>675</v>
      </c>
      <c r="U142" s="8" t="n">
        <v>0.29</v>
      </c>
      <c r="V142" s="6" t="s">
        <v>37</v>
      </c>
      <c r="W142" s="6" t="s">
        <v>38</v>
      </c>
    </row>
    <row r="143" customFormat="false" ht="48" hidden="false" customHeight="true" outlineLevel="0" collapsed="false">
      <c r="A143" s="4" t="n">
        <v>242</v>
      </c>
      <c r="B143" s="4" t="s">
        <v>952</v>
      </c>
      <c r="C143" s="5" t="s">
        <v>953</v>
      </c>
      <c r="D143" s="6"/>
      <c r="E143" s="6"/>
      <c r="F143" s="6" t="s">
        <v>954</v>
      </c>
      <c r="G143" s="6" t="s">
        <v>26</v>
      </c>
      <c r="H143" s="7" t="s">
        <v>882</v>
      </c>
      <c r="I143" s="7" t="s">
        <v>28</v>
      </c>
      <c r="J143" s="6" t="s">
        <v>955</v>
      </c>
      <c r="K143" s="6" t="s">
        <v>30</v>
      </c>
      <c r="L143" s="6"/>
      <c r="M143" s="6" t="s">
        <v>956</v>
      </c>
      <c r="N143" s="6" t="s">
        <v>911</v>
      </c>
      <c r="O143" s="6" t="s">
        <v>363</v>
      </c>
      <c r="P143" s="6" t="s">
        <v>898</v>
      </c>
      <c r="Q143" s="8" t="n">
        <v>0.588</v>
      </c>
      <c r="R143" s="6"/>
      <c r="S143" s="6" t="s">
        <v>46</v>
      </c>
      <c r="T143" s="6" t="s">
        <v>899</v>
      </c>
      <c r="U143" s="8" t="n">
        <v>0.529</v>
      </c>
      <c r="V143" s="10" t="s">
        <v>625</v>
      </c>
      <c r="W143" s="6" t="s">
        <v>957</v>
      </c>
    </row>
    <row r="144" customFormat="false" ht="48" hidden="false" customHeight="true" outlineLevel="0" collapsed="false">
      <c r="A144" s="4" t="n">
        <v>243</v>
      </c>
      <c r="B144" s="4" t="s">
        <v>958</v>
      </c>
      <c r="C144" s="5" t="s">
        <v>959</v>
      </c>
      <c r="D144" s="6"/>
      <c r="E144" s="6"/>
      <c r="F144" s="6" t="s">
        <v>960</v>
      </c>
      <c r="G144" s="6" t="s">
        <v>26</v>
      </c>
      <c r="H144" s="7" t="s">
        <v>882</v>
      </c>
      <c r="I144" s="7" t="s">
        <v>142</v>
      </c>
      <c r="J144" s="6" t="s">
        <v>961</v>
      </c>
      <c r="K144" s="6" t="s">
        <v>30</v>
      </c>
      <c r="L144" s="6"/>
      <c r="M144" s="6" t="s">
        <v>962</v>
      </c>
      <c r="N144" s="6" t="s">
        <v>963</v>
      </c>
      <c r="O144" s="6" t="s">
        <v>363</v>
      </c>
      <c r="P144" s="6" t="s">
        <v>695</v>
      </c>
      <c r="Q144" s="8" t="n">
        <v>0.688</v>
      </c>
      <c r="R144" s="6"/>
      <c r="S144" s="6" t="s">
        <v>35</v>
      </c>
      <c r="T144" s="6" t="s">
        <v>964</v>
      </c>
      <c r="U144" s="8" t="n">
        <v>0.478</v>
      </c>
      <c r="V144" s="10" t="s">
        <v>78</v>
      </c>
      <c r="W144" s="6" t="s">
        <v>965</v>
      </c>
    </row>
    <row r="145" customFormat="false" ht="48" hidden="false" customHeight="true" outlineLevel="0" collapsed="false">
      <c r="A145" s="4" t="n">
        <v>244</v>
      </c>
      <c r="B145" s="4" t="s">
        <v>966</v>
      </c>
      <c r="C145" s="5" t="s">
        <v>967</v>
      </c>
      <c r="D145" s="6"/>
      <c r="E145" s="6"/>
      <c r="F145" s="6" t="s">
        <v>968</v>
      </c>
      <c r="G145" s="6" t="s">
        <v>26</v>
      </c>
      <c r="H145" s="7" t="s">
        <v>882</v>
      </c>
      <c r="I145" s="7" t="s">
        <v>142</v>
      </c>
      <c r="J145" s="6" t="s">
        <v>969</v>
      </c>
      <c r="K145" s="6" t="s">
        <v>30</v>
      </c>
      <c r="L145" s="6"/>
      <c r="M145" s="6" t="s">
        <v>970</v>
      </c>
      <c r="N145" s="6" t="s">
        <v>963</v>
      </c>
      <c r="O145" s="6" t="s">
        <v>363</v>
      </c>
      <c r="P145" s="6" t="s">
        <v>898</v>
      </c>
      <c r="Q145" s="8" t="n">
        <v>0.348</v>
      </c>
      <c r="R145" s="6"/>
      <c r="S145" s="6" t="s">
        <v>35</v>
      </c>
      <c r="T145" s="6" t="s">
        <v>899</v>
      </c>
      <c r="U145" s="8" t="n">
        <v>0.304</v>
      </c>
      <c r="V145" s="6" t="s">
        <v>37</v>
      </c>
      <c r="W145" s="6" t="s">
        <v>38</v>
      </c>
    </row>
    <row r="146" customFormat="false" ht="48" hidden="false" customHeight="true" outlineLevel="0" collapsed="false">
      <c r="A146" s="4" t="n">
        <v>245</v>
      </c>
      <c r="B146" s="4" t="s">
        <v>971</v>
      </c>
      <c r="C146" s="5" t="s">
        <v>972</v>
      </c>
      <c r="D146" s="6"/>
      <c r="E146" s="6"/>
      <c r="F146" s="6" t="s">
        <v>973</v>
      </c>
      <c r="G146" s="6" t="s">
        <v>26</v>
      </c>
      <c r="H146" s="7" t="s">
        <v>882</v>
      </c>
      <c r="I146" s="7" t="s">
        <v>142</v>
      </c>
      <c r="J146" s="6" t="s">
        <v>974</v>
      </c>
      <c r="K146" s="6" t="s">
        <v>30</v>
      </c>
      <c r="L146" s="6"/>
      <c r="M146" s="6" t="s">
        <v>975</v>
      </c>
      <c r="N146" s="6" t="s">
        <v>963</v>
      </c>
      <c r="O146" s="6" t="s">
        <v>363</v>
      </c>
      <c r="P146" s="6" t="s">
        <v>951</v>
      </c>
      <c r="Q146" s="8" t="n">
        <v>0.407</v>
      </c>
      <c r="R146" s="6"/>
      <c r="S146" s="6" t="s">
        <v>35</v>
      </c>
      <c r="T146" s="6" t="s">
        <v>675</v>
      </c>
      <c r="U146" s="8" t="n">
        <v>0.257</v>
      </c>
      <c r="V146" s="6" t="s">
        <v>37</v>
      </c>
      <c r="W146" s="6" t="s">
        <v>38</v>
      </c>
    </row>
    <row r="147" customFormat="false" ht="48" hidden="false" customHeight="true" outlineLevel="0" collapsed="false">
      <c r="A147" s="4" t="n">
        <v>246</v>
      </c>
      <c r="B147" s="4" t="s">
        <v>976</v>
      </c>
      <c r="C147" s="5" t="s">
        <v>977</v>
      </c>
      <c r="D147" s="6"/>
      <c r="E147" s="6"/>
      <c r="F147" s="6" t="s">
        <v>978</v>
      </c>
      <c r="G147" s="6" t="s">
        <v>26</v>
      </c>
      <c r="H147" s="7" t="s">
        <v>882</v>
      </c>
      <c r="I147" s="7" t="s">
        <v>142</v>
      </c>
      <c r="J147" s="6" t="s">
        <v>979</v>
      </c>
      <c r="K147" s="6" t="s">
        <v>30</v>
      </c>
      <c r="L147" s="6"/>
      <c r="M147" s="6" t="s">
        <v>980</v>
      </c>
      <c r="N147" s="6" t="s">
        <v>963</v>
      </c>
      <c r="O147" s="6" t="s">
        <v>363</v>
      </c>
      <c r="P147" s="6" t="s">
        <v>905</v>
      </c>
      <c r="Q147" s="8" t="n">
        <v>0.429</v>
      </c>
      <c r="R147" s="6"/>
      <c r="S147" s="6" t="s">
        <v>35</v>
      </c>
      <c r="T147" s="6" t="s">
        <v>899</v>
      </c>
      <c r="U147" s="8" t="n">
        <v>0.25</v>
      </c>
      <c r="V147" s="6" t="s">
        <v>37</v>
      </c>
      <c r="W147" s="6" t="s">
        <v>38</v>
      </c>
    </row>
    <row r="148" customFormat="false" ht="48" hidden="false" customHeight="true" outlineLevel="0" collapsed="false">
      <c r="A148" s="4" t="n">
        <v>247</v>
      </c>
      <c r="B148" s="4" t="s">
        <v>981</v>
      </c>
      <c r="C148" s="5" t="s">
        <v>982</v>
      </c>
      <c r="D148" s="6"/>
      <c r="E148" s="6"/>
      <c r="F148" s="6" t="s">
        <v>983</v>
      </c>
      <c r="G148" s="6" t="s">
        <v>26</v>
      </c>
      <c r="H148" s="7" t="s">
        <v>882</v>
      </c>
      <c r="I148" s="7" t="s">
        <v>142</v>
      </c>
      <c r="J148" s="6" t="s">
        <v>984</v>
      </c>
      <c r="K148" s="6" t="s">
        <v>30</v>
      </c>
      <c r="L148" s="6"/>
      <c r="M148" s="6" t="s">
        <v>985</v>
      </c>
      <c r="N148" s="6" t="s">
        <v>986</v>
      </c>
      <c r="O148" s="6" t="s">
        <v>363</v>
      </c>
      <c r="P148" s="6" t="s">
        <v>898</v>
      </c>
      <c r="Q148" s="8" t="n">
        <v>0.304</v>
      </c>
      <c r="R148" s="6"/>
      <c r="S148" s="6" t="s">
        <v>46</v>
      </c>
      <c r="T148" s="6" t="s">
        <v>918</v>
      </c>
      <c r="U148" s="8" t="n">
        <v>0.333</v>
      </c>
      <c r="V148" s="6" t="s">
        <v>37</v>
      </c>
      <c r="W148" s="6" t="s">
        <v>38</v>
      </c>
    </row>
    <row r="149" customFormat="false" ht="48" hidden="false" customHeight="true" outlineLevel="0" collapsed="false">
      <c r="A149" s="4" t="n">
        <v>248</v>
      </c>
      <c r="B149" s="4" t="s">
        <v>987</v>
      </c>
      <c r="C149" s="5" t="s">
        <v>988</v>
      </c>
      <c r="D149" s="6"/>
      <c r="E149" s="6"/>
      <c r="F149" s="6" t="s">
        <v>989</v>
      </c>
      <c r="G149" s="6" t="s">
        <v>26</v>
      </c>
      <c r="H149" s="7" t="s">
        <v>882</v>
      </c>
      <c r="I149" s="7" t="s">
        <v>142</v>
      </c>
      <c r="J149" s="6" t="s">
        <v>990</v>
      </c>
      <c r="K149" s="6" t="s">
        <v>30</v>
      </c>
      <c r="L149" s="6"/>
      <c r="M149" s="6" t="s">
        <v>991</v>
      </c>
      <c r="N149" s="6" t="s">
        <v>992</v>
      </c>
      <c r="O149" s="6" t="s">
        <v>363</v>
      </c>
      <c r="P149" s="6" t="s">
        <v>993</v>
      </c>
      <c r="Q149" s="8" t="n">
        <v>0.529</v>
      </c>
      <c r="R149" s="6"/>
      <c r="S149" s="6" t="s">
        <v>46</v>
      </c>
      <c r="T149" s="6" t="s">
        <v>624</v>
      </c>
      <c r="U149" s="8" t="n">
        <v>0.162</v>
      </c>
      <c r="V149" s="10" t="s">
        <v>78</v>
      </c>
      <c r="W149" s="6" t="s">
        <v>994</v>
      </c>
    </row>
    <row r="150" customFormat="false" ht="48" hidden="false" customHeight="true" outlineLevel="0" collapsed="false">
      <c r="A150" s="4" t="n">
        <v>249</v>
      </c>
      <c r="B150" s="4" t="s">
        <v>995</v>
      </c>
      <c r="C150" s="5" t="s">
        <v>996</v>
      </c>
      <c r="D150" s="6"/>
      <c r="E150" s="6"/>
      <c r="F150" s="6" t="s">
        <v>997</v>
      </c>
      <c r="G150" s="6" t="s">
        <v>26</v>
      </c>
      <c r="H150" s="7" t="s">
        <v>882</v>
      </c>
      <c r="I150" s="7" t="s">
        <v>142</v>
      </c>
      <c r="J150" s="6" t="s">
        <v>998</v>
      </c>
      <c r="K150" s="6" t="s">
        <v>52</v>
      </c>
      <c r="L150" s="6"/>
      <c r="M150" s="6" t="s">
        <v>999</v>
      </c>
      <c r="N150" s="6" t="s">
        <v>1000</v>
      </c>
      <c r="O150" s="6" t="s">
        <v>380</v>
      </c>
      <c r="P150" s="6" t="s">
        <v>132</v>
      </c>
      <c r="Q150" s="8" t="n">
        <v>0.29</v>
      </c>
      <c r="R150" s="6"/>
      <c r="S150" s="6" t="s">
        <v>46</v>
      </c>
      <c r="T150" s="6" t="s">
        <v>311</v>
      </c>
      <c r="U150" s="8" t="n">
        <v>0.262</v>
      </c>
      <c r="V150" s="9" t="s">
        <v>58</v>
      </c>
      <c r="W150" s="6" t="s">
        <v>59</v>
      </c>
    </row>
    <row r="151" customFormat="false" ht="48" hidden="false" customHeight="true" outlineLevel="0" collapsed="false">
      <c r="A151" s="4" t="n">
        <v>250</v>
      </c>
      <c r="B151" s="4" t="s">
        <v>1001</v>
      </c>
      <c r="C151" s="5" t="s">
        <v>1002</v>
      </c>
      <c r="D151" s="6"/>
      <c r="E151" s="6"/>
      <c r="F151" s="6" t="s">
        <v>1003</v>
      </c>
      <c r="G151" s="6" t="s">
        <v>26</v>
      </c>
      <c r="H151" s="7" t="s">
        <v>882</v>
      </c>
      <c r="I151" s="7" t="s">
        <v>142</v>
      </c>
      <c r="J151" s="6" t="s">
        <v>1004</v>
      </c>
      <c r="K151" s="6" t="s">
        <v>52</v>
      </c>
      <c r="L151" s="6"/>
      <c r="M151" s="6" t="s">
        <v>1005</v>
      </c>
      <c r="N151" s="6" t="s">
        <v>1000</v>
      </c>
      <c r="O151" s="6" t="s">
        <v>380</v>
      </c>
      <c r="P151" s="6" t="s">
        <v>100</v>
      </c>
      <c r="Q151" s="8" t="n">
        <v>0.295</v>
      </c>
      <c r="R151" s="6"/>
      <c r="S151" s="6" t="s">
        <v>46</v>
      </c>
      <c r="T151" s="6" t="s">
        <v>311</v>
      </c>
      <c r="U151" s="8" t="n">
        <v>0.298</v>
      </c>
      <c r="V151" s="9" t="s">
        <v>58</v>
      </c>
      <c r="W151" s="6" t="s">
        <v>59</v>
      </c>
    </row>
    <row r="152" customFormat="false" ht="48" hidden="false" customHeight="true" outlineLevel="0" collapsed="false">
      <c r="A152" s="4" t="n">
        <v>251</v>
      </c>
      <c r="B152" s="4" t="s">
        <v>1006</v>
      </c>
      <c r="C152" s="6" t="s">
        <v>1007</v>
      </c>
      <c r="D152" s="6"/>
      <c r="E152" s="6"/>
      <c r="F152" s="6" t="s">
        <v>1008</v>
      </c>
      <c r="G152" s="6" t="s">
        <v>26</v>
      </c>
      <c r="H152" s="7" t="s">
        <v>882</v>
      </c>
      <c r="I152" s="7" t="s">
        <v>142</v>
      </c>
      <c r="J152" s="6" t="s">
        <v>1009</v>
      </c>
      <c r="K152" s="6" t="s">
        <v>30</v>
      </c>
      <c r="L152" s="6"/>
      <c r="M152" s="6" t="s">
        <v>1010</v>
      </c>
      <c r="N152" s="6" t="s">
        <v>992</v>
      </c>
      <c r="O152" s="6" t="s">
        <v>363</v>
      </c>
      <c r="P152" s="6" t="s">
        <v>500</v>
      </c>
      <c r="Q152" s="8" t="n">
        <v>0.442</v>
      </c>
      <c r="R152" s="6"/>
      <c r="S152" s="6" t="s">
        <v>46</v>
      </c>
      <c r="T152" s="6" t="s">
        <v>231</v>
      </c>
      <c r="U152" s="8" t="n">
        <v>0.212</v>
      </c>
      <c r="V152" s="6" t="s">
        <v>37</v>
      </c>
      <c r="W152" s="6" t="s">
        <v>38</v>
      </c>
    </row>
    <row r="153" customFormat="false" ht="48" hidden="false" customHeight="true" outlineLevel="0" collapsed="false">
      <c r="A153" s="4" t="n">
        <v>252</v>
      </c>
      <c r="B153" s="4" t="s">
        <v>1011</v>
      </c>
      <c r="C153" s="6" t="s">
        <v>1012</v>
      </c>
      <c r="D153" s="6"/>
      <c r="E153" s="6"/>
      <c r="F153" s="6" t="s">
        <v>1013</v>
      </c>
      <c r="G153" s="6" t="s">
        <v>26</v>
      </c>
      <c r="H153" s="7" t="s">
        <v>882</v>
      </c>
      <c r="I153" s="7" t="s">
        <v>142</v>
      </c>
      <c r="J153" s="6" t="s">
        <v>1014</v>
      </c>
      <c r="K153" s="6" t="s">
        <v>30</v>
      </c>
      <c r="L153" s="6"/>
      <c r="M153" s="6" t="s">
        <v>1015</v>
      </c>
      <c r="N153" s="6" t="s">
        <v>992</v>
      </c>
      <c r="O153" s="6" t="s">
        <v>363</v>
      </c>
      <c r="P153" s="6" t="s">
        <v>993</v>
      </c>
      <c r="Q153" s="8" t="n">
        <v>0.318</v>
      </c>
      <c r="R153" s="6"/>
      <c r="S153" s="6" t="s">
        <v>46</v>
      </c>
      <c r="T153" s="6" t="s">
        <v>231</v>
      </c>
      <c r="U153" s="8" t="n">
        <v>0.222</v>
      </c>
      <c r="V153" s="6" t="s">
        <v>37</v>
      </c>
      <c r="W153" s="6" t="s">
        <v>38</v>
      </c>
    </row>
    <row r="154" customFormat="false" ht="48" hidden="false" customHeight="true" outlineLevel="0" collapsed="false">
      <c r="A154" s="4" t="n">
        <v>253</v>
      </c>
      <c r="B154" s="4" t="s">
        <v>1016</v>
      </c>
      <c r="C154" s="6" t="s">
        <v>1017</v>
      </c>
      <c r="D154" s="6"/>
      <c r="E154" s="6"/>
      <c r="F154" s="6" t="s">
        <v>1018</v>
      </c>
      <c r="G154" s="6" t="s">
        <v>26</v>
      </c>
      <c r="H154" s="7" t="s">
        <v>882</v>
      </c>
      <c r="I154" s="7" t="s">
        <v>142</v>
      </c>
      <c r="J154" s="6" t="s">
        <v>1019</v>
      </c>
      <c r="K154" s="6" t="s">
        <v>30</v>
      </c>
      <c r="L154" s="6"/>
      <c r="M154" s="6" t="s">
        <v>1020</v>
      </c>
      <c r="N154" s="6" t="s">
        <v>992</v>
      </c>
      <c r="O154" s="6" t="s">
        <v>363</v>
      </c>
      <c r="P154" s="6" t="s">
        <v>500</v>
      </c>
      <c r="Q154" s="8" t="n">
        <v>0.268</v>
      </c>
      <c r="R154" s="6"/>
      <c r="S154" s="6" t="s">
        <v>46</v>
      </c>
      <c r="T154" s="6" t="s">
        <v>231</v>
      </c>
      <c r="U154" s="8" t="n">
        <v>0.286</v>
      </c>
      <c r="V154" s="6" t="s">
        <v>37</v>
      </c>
      <c r="W154" s="6" t="s">
        <v>38</v>
      </c>
    </row>
    <row r="155" customFormat="false" ht="48" hidden="false" customHeight="true" outlineLevel="0" collapsed="false">
      <c r="A155" s="4" t="n">
        <v>254</v>
      </c>
      <c r="B155" s="4" t="s">
        <v>1021</v>
      </c>
      <c r="C155" s="6" t="s">
        <v>1022</v>
      </c>
      <c r="D155" s="6"/>
      <c r="E155" s="6"/>
      <c r="F155" s="6" t="s">
        <v>1023</v>
      </c>
      <c r="G155" s="6" t="s">
        <v>26</v>
      </c>
      <c r="H155" s="7" t="s">
        <v>882</v>
      </c>
      <c r="I155" s="7" t="s">
        <v>142</v>
      </c>
      <c r="J155" s="6" t="s">
        <v>1024</v>
      </c>
      <c r="K155" s="6" t="s">
        <v>30</v>
      </c>
      <c r="L155" s="6"/>
      <c r="M155" s="6" t="s">
        <v>1025</v>
      </c>
      <c r="N155" s="6" t="s">
        <v>986</v>
      </c>
      <c r="O155" s="6" t="s">
        <v>363</v>
      </c>
      <c r="P155" s="6" t="s">
        <v>695</v>
      </c>
      <c r="Q155" s="8" t="n">
        <v>0.211</v>
      </c>
      <c r="R155" s="6"/>
      <c r="S155" s="6" t="s">
        <v>46</v>
      </c>
      <c r="T155" s="6" t="s">
        <v>624</v>
      </c>
      <c r="U155" s="8" t="n">
        <v>0.146</v>
      </c>
      <c r="V155" s="6" t="s">
        <v>37</v>
      </c>
      <c r="W155" s="6" t="s">
        <v>38</v>
      </c>
    </row>
    <row r="156" customFormat="false" ht="48" hidden="false" customHeight="true" outlineLevel="0" collapsed="false">
      <c r="A156" s="4" t="n">
        <v>255</v>
      </c>
      <c r="B156" s="4" t="s">
        <v>1026</v>
      </c>
      <c r="C156" s="5" t="s">
        <v>1027</v>
      </c>
      <c r="D156" s="6"/>
      <c r="E156" s="6"/>
      <c r="F156" s="6" t="s">
        <v>1028</v>
      </c>
      <c r="G156" s="6" t="s">
        <v>26</v>
      </c>
      <c r="H156" s="7" t="s">
        <v>882</v>
      </c>
      <c r="I156" s="7" t="s">
        <v>142</v>
      </c>
      <c r="J156" s="6" t="s">
        <v>1029</v>
      </c>
      <c r="K156" s="6" t="s">
        <v>658</v>
      </c>
      <c r="L156" s="6"/>
      <c r="M156" s="6" t="s">
        <v>1030</v>
      </c>
      <c r="N156" s="6" t="s">
        <v>1031</v>
      </c>
      <c r="O156" s="6" t="s">
        <v>661</v>
      </c>
      <c r="P156" s="6" t="s">
        <v>951</v>
      </c>
      <c r="Q156" s="8" t="n">
        <v>0.31</v>
      </c>
      <c r="R156" s="6"/>
      <c r="S156" s="6" t="s">
        <v>46</v>
      </c>
      <c r="T156" s="6" t="s">
        <v>231</v>
      </c>
      <c r="U156" s="8" t="n">
        <v>0.317</v>
      </c>
      <c r="V156" s="6" t="s">
        <v>37</v>
      </c>
      <c r="W156" s="6" t="s">
        <v>38</v>
      </c>
    </row>
    <row r="157" customFormat="false" ht="48" hidden="false" customHeight="true" outlineLevel="0" collapsed="false">
      <c r="A157" s="4" t="n">
        <v>256</v>
      </c>
      <c r="B157" s="4" t="s">
        <v>1032</v>
      </c>
      <c r="C157" s="5" t="s">
        <v>1033</v>
      </c>
      <c r="D157" s="6"/>
      <c r="E157" s="6"/>
      <c r="F157" s="6" t="s">
        <v>1034</v>
      </c>
      <c r="G157" s="6" t="s">
        <v>26</v>
      </c>
      <c r="H157" s="7" t="s">
        <v>882</v>
      </c>
      <c r="I157" s="7" t="s">
        <v>142</v>
      </c>
      <c r="J157" s="6" t="s">
        <v>1035</v>
      </c>
      <c r="K157" s="6" t="s">
        <v>658</v>
      </c>
      <c r="L157" s="6"/>
      <c r="M157" s="6" t="s">
        <v>1036</v>
      </c>
      <c r="N157" s="6" t="s">
        <v>1031</v>
      </c>
      <c r="O157" s="6" t="s">
        <v>661</v>
      </c>
      <c r="P157" s="6" t="s">
        <v>422</v>
      </c>
      <c r="Q157" s="8" t="n">
        <v>0.237</v>
      </c>
      <c r="R157" s="6"/>
      <c r="S157" s="6" t="s">
        <v>46</v>
      </c>
      <c r="T157" s="6" t="s">
        <v>560</v>
      </c>
      <c r="U157" s="8" t="n">
        <v>0.17</v>
      </c>
      <c r="V157" s="6" t="s">
        <v>37</v>
      </c>
      <c r="W157" s="6" t="s">
        <v>38</v>
      </c>
    </row>
    <row r="158" customFormat="false" ht="48" hidden="false" customHeight="true" outlineLevel="0" collapsed="false">
      <c r="A158" s="4" t="n">
        <v>257</v>
      </c>
      <c r="B158" s="4" t="s">
        <v>1037</v>
      </c>
      <c r="C158" s="5" t="s">
        <v>1038</v>
      </c>
      <c r="D158" s="6"/>
      <c r="E158" s="6"/>
      <c r="F158" s="6" t="s">
        <v>1039</v>
      </c>
      <c r="G158" s="6" t="s">
        <v>26</v>
      </c>
      <c r="H158" s="7" t="s">
        <v>882</v>
      </c>
      <c r="I158" s="7" t="s">
        <v>142</v>
      </c>
      <c r="J158" s="6" t="s">
        <v>1040</v>
      </c>
      <c r="K158" s="6" t="s">
        <v>30</v>
      </c>
      <c r="L158" s="6"/>
      <c r="M158" s="6" t="s">
        <v>1041</v>
      </c>
      <c r="N158" s="6" t="s">
        <v>1042</v>
      </c>
      <c r="O158" s="6" t="s">
        <v>363</v>
      </c>
      <c r="P158" s="6" t="s">
        <v>993</v>
      </c>
      <c r="Q158" s="8" t="n">
        <v>0.25</v>
      </c>
      <c r="R158" s="6"/>
      <c r="S158" s="6" t="s">
        <v>35</v>
      </c>
      <c r="T158" s="6" t="s">
        <v>899</v>
      </c>
      <c r="U158" s="8" t="n">
        <v>0.184</v>
      </c>
      <c r="V158" s="6" t="s">
        <v>37</v>
      </c>
      <c r="W158" s="6" t="s">
        <v>38</v>
      </c>
    </row>
    <row r="159" customFormat="false" ht="48" hidden="false" customHeight="true" outlineLevel="0" collapsed="false">
      <c r="A159" s="4" t="n">
        <v>258</v>
      </c>
      <c r="B159" s="4" t="s">
        <v>1043</v>
      </c>
      <c r="C159" s="5" t="s">
        <v>1044</v>
      </c>
      <c r="D159" s="6"/>
      <c r="E159" s="6"/>
      <c r="F159" s="6" t="s">
        <v>1045</v>
      </c>
      <c r="G159" s="6" t="s">
        <v>26</v>
      </c>
      <c r="H159" s="7" t="s">
        <v>882</v>
      </c>
      <c r="I159" s="7" t="s">
        <v>142</v>
      </c>
      <c r="J159" s="6" t="s">
        <v>1046</v>
      </c>
      <c r="K159" s="6" t="s">
        <v>30</v>
      </c>
      <c r="L159" s="6"/>
      <c r="M159" s="6" t="s">
        <v>1047</v>
      </c>
      <c r="N159" s="6" t="s">
        <v>1042</v>
      </c>
      <c r="O159" s="6" t="s">
        <v>363</v>
      </c>
      <c r="P159" s="6" t="s">
        <v>156</v>
      </c>
      <c r="Q159" s="8" t="n">
        <v>0.24</v>
      </c>
      <c r="R159" s="6"/>
      <c r="S159" s="6" t="s">
        <v>35</v>
      </c>
      <c r="T159" s="6" t="s">
        <v>157</v>
      </c>
      <c r="U159" s="8" t="n">
        <v>0.143</v>
      </c>
      <c r="V159" s="6" t="s">
        <v>37</v>
      </c>
      <c r="W159" s="6" t="s">
        <v>38</v>
      </c>
    </row>
    <row r="160" customFormat="false" ht="48" hidden="false" customHeight="true" outlineLevel="0" collapsed="false">
      <c r="A160" s="4" t="n">
        <v>259</v>
      </c>
      <c r="B160" s="4" t="s">
        <v>1048</v>
      </c>
      <c r="C160" s="5" t="s">
        <v>1049</v>
      </c>
      <c r="D160" s="6"/>
      <c r="E160" s="6"/>
      <c r="F160" s="6" t="s">
        <v>1050</v>
      </c>
      <c r="G160" s="6" t="s">
        <v>26</v>
      </c>
      <c r="H160" s="7" t="s">
        <v>882</v>
      </c>
      <c r="I160" s="7" t="s">
        <v>142</v>
      </c>
      <c r="J160" s="6" t="s">
        <v>1051</v>
      </c>
      <c r="K160" s="6" t="s">
        <v>52</v>
      </c>
      <c r="L160" s="6"/>
      <c r="M160" s="6" t="s">
        <v>1052</v>
      </c>
      <c r="N160" s="6" t="s">
        <v>1000</v>
      </c>
      <c r="O160" s="6" t="s">
        <v>380</v>
      </c>
      <c r="P160" s="6" t="s">
        <v>310</v>
      </c>
      <c r="Q160" s="8" t="n">
        <v>0.508</v>
      </c>
      <c r="R160" s="6"/>
      <c r="S160" s="6" t="s">
        <v>46</v>
      </c>
      <c r="T160" s="6" t="s">
        <v>311</v>
      </c>
      <c r="U160" s="8" t="n">
        <v>0.392</v>
      </c>
      <c r="V160" s="10" t="s">
        <v>78</v>
      </c>
      <c r="W160" s="6" t="s">
        <v>1053</v>
      </c>
    </row>
    <row r="161" customFormat="false" ht="48" hidden="false" customHeight="true" outlineLevel="0" collapsed="false">
      <c r="A161" s="4" t="n">
        <v>260</v>
      </c>
      <c r="B161" s="4" t="s">
        <v>1054</v>
      </c>
      <c r="C161" s="5" t="s">
        <v>1055</v>
      </c>
      <c r="D161" s="6"/>
      <c r="E161" s="6"/>
      <c r="F161" s="6" t="s">
        <v>1056</v>
      </c>
      <c r="G161" s="6" t="s">
        <v>26</v>
      </c>
      <c r="H161" s="7" t="s">
        <v>882</v>
      </c>
      <c r="I161" s="7" t="s">
        <v>267</v>
      </c>
      <c r="J161" s="6" t="s">
        <v>1057</v>
      </c>
      <c r="K161" s="6" t="s">
        <v>30</v>
      </c>
      <c r="L161" s="6"/>
      <c r="M161" s="6" t="s">
        <v>1058</v>
      </c>
      <c r="N161" s="6" t="s">
        <v>1042</v>
      </c>
      <c r="O161" s="6" t="s">
        <v>363</v>
      </c>
      <c r="P161" s="6" t="s">
        <v>993</v>
      </c>
      <c r="Q161" s="8" t="n">
        <v>0.567</v>
      </c>
      <c r="R161" s="6"/>
      <c r="S161" s="6" t="s">
        <v>35</v>
      </c>
      <c r="T161" s="6" t="s">
        <v>231</v>
      </c>
      <c r="U161" s="8" t="n">
        <v>0.375</v>
      </c>
      <c r="V161" s="10" t="s">
        <v>78</v>
      </c>
      <c r="W161" s="6" t="s">
        <v>1059</v>
      </c>
    </row>
    <row r="162" customFormat="false" ht="48" hidden="false" customHeight="true" outlineLevel="0" collapsed="false">
      <c r="A162" s="4" t="n">
        <v>261</v>
      </c>
      <c r="B162" s="4" t="s">
        <v>1060</v>
      </c>
      <c r="C162" s="5" t="s">
        <v>1061</v>
      </c>
      <c r="D162" s="6"/>
      <c r="E162" s="6"/>
      <c r="F162" s="6" t="s">
        <v>1062</v>
      </c>
      <c r="G162" s="6" t="s">
        <v>26</v>
      </c>
      <c r="H162" s="7" t="s">
        <v>882</v>
      </c>
      <c r="I162" s="7" t="s">
        <v>267</v>
      </c>
      <c r="J162" s="6" t="s">
        <v>1063</v>
      </c>
      <c r="K162" s="6" t="s">
        <v>30</v>
      </c>
      <c r="L162" s="6"/>
      <c r="M162" s="6" t="s">
        <v>1064</v>
      </c>
      <c r="N162" s="6" t="s">
        <v>1042</v>
      </c>
      <c r="O162" s="6" t="s">
        <v>363</v>
      </c>
      <c r="P162" s="6" t="s">
        <v>500</v>
      </c>
      <c r="Q162" s="8" t="n">
        <v>0.366</v>
      </c>
      <c r="R162" s="6"/>
      <c r="S162" s="6" t="s">
        <v>35</v>
      </c>
      <c r="T162" s="6" t="s">
        <v>231</v>
      </c>
      <c r="U162" s="8" t="n">
        <v>0.267</v>
      </c>
      <c r="V162" s="6" t="s">
        <v>37</v>
      </c>
      <c r="W162" s="6" t="s">
        <v>38</v>
      </c>
    </row>
    <row r="163" customFormat="false" ht="48" hidden="false" customHeight="true" outlineLevel="0" collapsed="false">
      <c r="A163" s="4" t="n">
        <v>262</v>
      </c>
      <c r="B163" s="4" t="s">
        <v>1065</v>
      </c>
      <c r="C163" s="6" t="s">
        <v>1066</v>
      </c>
      <c r="D163" s="6"/>
      <c r="E163" s="6"/>
      <c r="F163" s="6" t="s">
        <v>1067</v>
      </c>
      <c r="G163" s="6" t="s">
        <v>26</v>
      </c>
      <c r="H163" s="7" t="s">
        <v>882</v>
      </c>
      <c r="I163" s="7" t="s">
        <v>267</v>
      </c>
      <c r="J163" s="6" t="s">
        <v>1068</v>
      </c>
      <c r="K163" s="6" t="s">
        <v>30</v>
      </c>
      <c r="L163" s="6"/>
      <c r="M163" s="6" t="s">
        <v>1069</v>
      </c>
      <c r="N163" s="6" t="s">
        <v>1042</v>
      </c>
      <c r="O163" s="6" t="s">
        <v>363</v>
      </c>
      <c r="P163" s="6" t="s">
        <v>500</v>
      </c>
      <c r="Q163" s="8" t="n">
        <v>0.259</v>
      </c>
      <c r="R163" s="6"/>
      <c r="S163" s="6" t="s">
        <v>35</v>
      </c>
      <c r="T163" s="6" t="s">
        <v>231</v>
      </c>
      <c r="U163" s="8" t="n">
        <v>0.211</v>
      </c>
      <c r="V163" s="6" t="s">
        <v>37</v>
      </c>
      <c r="W163" s="6" t="s">
        <v>38</v>
      </c>
    </row>
    <row r="164" customFormat="false" ht="48" hidden="false" customHeight="true" outlineLevel="0" collapsed="false">
      <c r="A164" s="4" t="n">
        <v>263</v>
      </c>
      <c r="B164" s="4" t="s">
        <v>1070</v>
      </c>
      <c r="C164" s="5" t="s">
        <v>1071</v>
      </c>
      <c r="D164" s="6"/>
      <c r="E164" s="6"/>
      <c r="F164" s="6" t="s">
        <v>1072</v>
      </c>
      <c r="G164" s="6" t="s">
        <v>26</v>
      </c>
      <c r="H164" s="7" t="s">
        <v>882</v>
      </c>
      <c r="I164" s="7" t="s">
        <v>267</v>
      </c>
      <c r="J164" s="6" t="s">
        <v>1073</v>
      </c>
      <c r="K164" s="6" t="s">
        <v>30</v>
      </c>
      <c r="L164" s="6"/>
      <c r="M164" s="6" t="s">
        <v>1074</v>
      </c>
      <c r="N164" s="6" t="s">
        <v>1042</v>
      </c>
      <c r="O164" s="6" t="s">
        <v>363</v>
      </c>
      <c r="P164" s="6" t="s">
        <v>905</v>
      </c>
      <c r="Q164" s="8" t="n">
        <v>0.29</v>
      </c>
      <c r="R164" s="6"/>
      <c r="S164" s="6" t="s">
        <v>35</v>
      </c>
      <c r="T164" s="6" t="s">
        <v>899</v>
      </c>
      <c r="U164" s="8" t="n">
        <v>0.176</v>
      </c>
      <c r="V164" s="6" t="s">
        <v>37</v>
      </c>
      <c r="W164" s="6" t="s">
        <v>38</v>
      </c>
    </row>
    <row r="165" customFormat="false" ht="48" hidden="false" customHeight="true" outlineLevel="0" collapsed="false">
      <c r="A165" s="4" t="n">
        <v>264</v>
      </c>
      <c r="B165" s="4" t="s">
        <v>1075</v>
      </c>
      <c r="C165" s="6" t="s">
        <v>1076</v>
      </c>
      <c r="D165" s="6"/>
      <c r="E165" s="6"/>
      <c r="F165" s="6" t="s">
        <v>1077</v>
      </c>
      <c r="G165" s="6" t="s">
        <v>26</v>
      </c>
      <c r="H165" s="7" t="s">
        <v>882</v>
      </c>
      <c r="I165" s="7" t="s">
        <v>267</v>
      </c>
      <c r="J165" s="6" t="s">
        <v>1078</v>
      </c>
      <c r="K165" s="6" t="s">
        <v>30</v>
      </c>
      <c r="L165" s="6"/>
      <c r="M165" s="6" t="s">
        <v>1079</v>
      </c>
      <c r="N165" s="6" t="s">
        <v>992</v>
      </c>
      <c r="O165" s="6" t="s">
        <v>363</v>
      </c>
      <c r="P165" s="6" t="s">
        <v>993</v>
      </c>
      <c r="Q165" s="8" t="n">
        <v>0.356</v>
      </c>
      <c r="R165" s="6"/>
      <c r="S165" s="6" t="s">
        <v>46</v>
      </c>
      <c r="T165" s="6" t="s">
        <v>416</v>
      </c>
      <c r="U165" s="8" t="n">
        <v>0.226</v>
      </c>
      <c r="V165" s="6" t="s">
        <v>37</v>
      </c>
      <c r="W165" s="6" t="s">
        <v>38</v>
      </c>
    </row>
    <row r="166" customFormat="false" ht="48" hidden="false" customHeight="true" outlineLevel="0" collapsed="false">
      <c r="A166" s="4" t="n">
        <v>265</v>
      </c>
      <c r="B166" s="4" t="s">
        <v>1080</v>
      </c>
      <c r="C166" s="5" t="s">
        <v>1081</v>
      </c>
      <c r="D166" s="6"/>
      <c r="E166" s="6"/>
      <c r="F166" s="6" t="s">
        <v>1082</v>
      </c>
      <c r="G166" s="6" t="s">
        <v>26</v>
      </c>
      <c r="H166" s="7" t="s">
        <v>882</v>
      </c>
      <c r="I166" s="7" t="s">
        <v>267</v>
      </c>
      <c r="J166" s="6" t="s">
        <v>1083</v>
      </c>
      <c r="K166" s="6" t="s">
        <v>30</v>
      </c>
      <c r="L166" s="6"/>
      <c r="M166" s="6" t="s">
        <v>1084</v>
      </c>
      <c r="N166" s="6" t="s">
        <v>992</v>
      </c>
      <c r="O166" s="6" t="s">
        <v>363</v>
      </c>
      <c r="P166" s="6" t="s">
        <v>156</v>
      </c>
      <c r="Q166" s="8" t="n">
        <v>0.222</v>
      </c>
      <c r="R166" s="6"/>
      <c r="S166" s="6" t="s">
        <v>46</v>
      </c>
      <c r="T166" s="6" t="s">
        <v>675</v>
      </c>
      <c r="U166" s="8" t="n">
        <v>0.191</v>
      </c>
      <c r="V166" s="6" t="s">
        <v>37</v>
      </c>
      <c r="W166" s="6" t="s">
        <v>38</v>
      </c>
    </row>
    <row r="167" customFormat="false" ht="48" hidden="false" customHeight="true" outlineLevel="0" collapsed="false">
      <c r="A167" s="4" t="n">
        <v>266</v>
      </c>
      <c r="B167" s="4" t="s">
        <v>1085</v>
      </c>
      <c r="C167" s="5" t="s">
        <v>1086</v>
      </c>
      <c r="D167" s="6"/>
      <c r="E167" s="6"/>
      <c r="F167" s="6" t="s">
        <v>1087</v>
      </c>
      <c r="G167" s="6" t="s">
        <v>26</v>
      </c>
      <c r="H167" s="7" t="s">
        <v>882</v>
      </c>
      <c r="I167" s="7" t="s">
        <v>267</v>
      </c>
      <c r="J167" s="6" t="s">
        <v>1088</v>
      </c>
      <c r="K167" s="6" t="s">
        <v>52</v>
      </c>
      <c r="L167" s="6"/>
      <c r="M167" s="6" t="s">
        <v>1089</v>
      </c>
      <c r="N167" s="6" t="s">
        <v>1000</v>
      </c>
      <c r="O167" s="6" t="s">
        <v>380</v>
      </c>
      <c r="P167" s="6" t="s">
        <v>132</v>
      </c>
      <c r="Q167" s="8" t="n">
        <v>0.286</v>
      </c>
      <c r="R167" s="6"/>
      <c r="S167" s="6" t="s">
        <v>46</v>
      </c>
      <c r="T167" s="6" t="s">
        <v>311</v>
      </c>
      <c r="U167" s="8" t="n">
        <v>0.258</v>
      </c>
      <c r="V167" s="9" t="s">
        <v>58</v>
      </c>
      <c r="W167" s="6" t="s">
        <v>59</v>
      </c>
    </row>
    <row r="168" customFormat="false" ht="48" hidden="false" customHeight="true" outlineLevel="0" collapsed="false">
      <c r="A168" s="4" t="n">
        <v>267</v>
      </c>
      <c r="B168" s="4" t="s">
        <v>1090</v>
      </c>
      <c r="C168" s="5" t="s">
        <v>1091</v>
      </c>
      <c r="D168" s="6"/>
      <c r="E168" s="6"/>
      <c r="F168" s="6" t="s">
        <v>1092</v>
      </c>
      <c r="G168" s="6" t="s">
        <v>26</v>
      </c>
      <c r="H168" s="7" t="s">
        <v>882</v>
      </c>
      <c r="I168" s="7" t="s">
        <v>267</v>
      </c>
      <c r="J168" s="6" t="s">
        <v>1093</v>
      </c>
      <c r="K168" s="6" t="s">
        <v>52</v>
      </c>
      <c r="L168" s="6"/>
      <c r="M168" s="6" t="s">
        <v>1094</v>
      </c>
      <c r="N168" s="6" t="s">
        <v>1000</v>
      </c>
      <c r="O168" s="6" t="s">
        <v>380</v>
      </c>
      <c r="P168" s="6" t="s">
        <v>100</v>
      </c>
      <c r="Q168" s="8" t="n">
        <v>0.295</v>
      </c>
      <c r="R168" s="6"/>
      <c r="S168" s="6" t="s">
        <v>46</v>
      </c>
      <c r="T168" s="6" t="s">
        <v>311</v>
      </c>
      <c r="U168" s="8" t="n">
        <v>0.298</v>
      </c>
      <c r="V168" s="9" t="s">
        <v>58</v>
      </c>
      <c r="W168" s="6" t="s">
        <v>59</v>
      </c>
    </row>
    <row r="169" customFormat="false" ht="48" hidden="false" customHeight="true" outlineLevel="0" collapsed="false">
      <c r="A169" s="4" t="n">
        <v>268</v>
      </c>
      <c r="B169" s="4" t="s">
        <v>1095</v>
      </c>
      <c r="C169" s="6" t="s">
        <v>1096</v>
      </c>
      <c r="D169" s="6"/>
      <c r="E169" s="6"/>
      <c r="F169" s="6" t="s">
        <v>1097</v>
      </c>
      <c r="G169" s="6" t="s">
        <v>26</v>
      </c>
      <c r="H169" s="7" t="s">
        <v>882</v>
      </c>
      <c r="I169" s="7" t="s">
        <v>267</v>
      </c>
      <c r="J169" s="6" t="s">
        <v>1098</v>
      </c>
      <c r="K169" s="6" t="s">
        <v>30</v>
      </c>
      <c r="L169" s="6"/>
      <c r="M169" s="6" t="s">
        <v>1099</v>
      </c>
      <c r="N169" s="6" t="s">
        <v>992</v>
      </c>
      <c r="O169" s="6" t="s">
        <v>363</v>
      </c>
      <c r="P169" s="6" t="s">
        <v>582</v>
      </c>
      <c r="Q169" s="8" t="n">
        <v>0.383</v>
      </c>
      <c r="R169" s="6"/>
      <c r="S169" s="6" t="s">
        <v>46</v>
      </c>
      <c r="T169" s="6" t="s">
        <v>832</v>
      </c>
      <c r="U169" s="8" t="n">
        <v>0.171</v>
      </c>
      <c r="V169" s="6" t="s">
        <v>37</v>
      </c>
      <c r="W169" s="6" t="s">
        <v>38</v>
      </c>
    </row>
    <row r="170" customFormat="false" ht="48" hidden="false" customHeight="true" outlineLevel="0" collapsed="false">
      <c r="A170" s="4" t="n">
        <v>269</v>
      </c>
      <c r="B170" s="4" t="s">
        <v>1100</v>
      </c>
      <c r="C170" s="6" t="s">
        <v>1101</v>
      </c>
      <c r="D170" s="6"/>
      <c r="E170" s="6"/>
      <c r="F170" s="6" t="s">
        <v>1102</v>
      </c>
      <c r="G170" s="6" t="s">
        <v>26</v>
      </c>
      <c r="H170" s="7" t="s">
        <v>882</v>
      </c>
      <c r="I170" s="7" t="s">
        <v>267</v>
      </c>
      <c r="J170" s="6" t="s">
        <v>1103</v>
      </c>
      <c r="K170" s="6" t="s">
        <v>30</v>
      </c>
      <c r="L170" s="6"/>
      <c r="M170" s="6" t="s">
        <v>1104</v>
      </c>
      <c r="N170" s="6" t="s">
        <v>992</v>
      </c>
      <c r="O170" s="6" t="s">
        <v>363</v>
      </c>
      <c r="P170" s="6" t="s">
        <v>993</v>
      </c>
      <c r="Q170" s="8" t="n">
        <v>0.326</v>
      </c>
      <c r="R170" s="6"/>
      <c r="S170" s="6" t="s">
        <v>46</v>
      </c>
      <c r="T170" s="6" t="s">
        <v>231</v>
      </c>
      <c r="U170" s="8" t="n">
        <v>0.226</v>
      </c>
      <c r="V170" s="6" t="s">
        <v>37</v>
      </c>
      <c r="W170" s="6" t="s">
        <v>38</v>
      </c>
    </row>
    <row r="171" customFormat="false" ht="48" hidden="false" customHeight="true" outlineLevel="0" collapsed="false">
      <c r="A171" s="4" t="n">
        <v>270</v>
      </c>
      <c r="B171" s="4" t="s">
        <v>1105</v>
      </c>
      <c r="C171" s="5" t="s">
        <v>1106</v>
      </c>
      <c r="D171" s="6"/>
      <c r="E171" s="6"/>
      <c r="F171" s="6" t="s">
        <v>1107</v>
      </c>
      <c r="G171" s="6" t="s">
        <v>26</v>
      </c>
      <c r="H171" s="7" t="s">
        <v>882</v>
      </c>
      <c r="I171" s="7" t="s">
        <v>267</v>
      </c>
      <c r="J171" s="6" t="s">
        <v>1108</v>
      </c>
      <c r="K171" s="6" t="s">
        <v>30</v>
      </c>
      <c r="L171" s="6"/>
      <c r="M171" s="6" t="s">
        <v>1109</v>
      </c>
      <c r="N171" s="6" t="s">
        <v>992</v>
      </c>
      <c r="O171" s="6" t="s">
        <v>363</v>
      </c>
      <c r="P171" s="6" t="s">
        <v>156</v>
      </c>
      <c r="Q171" s="8" t="n">
        <v>0.241</v>
      </c>
      <c r="R171" s="6"/>
      <c r="S171" s="6" t="s">
        <v>46</v>
      </c>
      <c r="T171" s="6" t="s">
        <v>231</v>
      </c>
      <c r="U171" s="8" t="n">
        <v>0.18</v>
      </c>
      <c r="V171" s="6" t="s">
        <v>37</v>
      </c>
      <c r="W171" s="6" t="s">
        <v>38</v>
      </c>
    </row>
    <row r="172" customFormat="false" ht="48" hidden="false" customHeight="true" outlineLevel="0" collapsed="false">
      <c r="A172" s="4" t="n">
        <v>271</v>
      </c>
      <c r="B172" s="4" t="s">
        <v>1110</v>
      </c>
      <c r="C172" s="6" t="s">
        <v>1111</v>
      </c>
      <c r="D172" s="6"/>
      <c r="E172" s="6"/>
      <c r="F172" s="6" t="s">
        <v>1112</v>
      </c>
      <c r="G172" s="6" t="s">
        <v>26</v>
      </c>
      <c r="H172" s="7" t="s">
        <v>882</v>
      </c>
      <c r="I172" s="7" t="s">
        <v>267</v>
      </c>
      <c r="J172" s="6" t="s">
        <v>1113</v>
      </c>
      <c r="K172" s="6" t="s">
        <v>30</v>
      </c>
      <c r="L172" s="6"/>
      <c r="M172" s="6" t="s">
        <v>1114</v>
      </c>
      <c r="N172" s="6" t="s">
        <v>992</v>
      </c>
      <c r="O172" s="6" t="s">
        <v>363</v>
      </c>
      <c r="P172" s="6" t="s">
        <v>582</v>
      </c>
      <c r="Q172" s="8" t="n">
        <v>0.321</v>
      </c>
      <c r="R172" s="6"/>
      <c r="S172" s="6" t="s">
        <v>46</v>
      </c>
      <c r="T172" s="6" t="s">
        <v>899</v>
      </c>
      <c r="U172" s="8" t="n">
        <v>0.163</v>
      </c>
      <c r="V172" s="6" t="s">
        <v>37</v>
      </c>
      <c r="W172" s="6" t="s">
        <v>38</v>
      </c>
    </row>
    <row r="173" customFormat="false" ht="48" hidden="false" customHeight="true" outlineLevel="0" collapsed="false">
      <c r="A173" s="4" t="n">
        <v>272</v>
      </c>
      <c r="B173" s="4" t="s">
        <v>1115</v>
      </c>
      <c r="C173" s="5" t="s">
        <v>1116</v>
      </c>
      <c r="D173" s="6"/>
      <c r="E173" s="6"/>
      <c r="F173" s="6" t="s">
        <v>1117</v>
      </c>
      <c r="G173" s="6" t="s">
        <v>26</v>
      </c>
      <c r="H173" s="7" t="s">
        <v>882</v>
      </c>
      <c r="I173" s="7" t="s">
        <v>267</v>
      </c>
      <c r="J173" s="6" t="s">
        <v>877</v>
      </c>
      <c r="K173" s="6" t="s">
        <v>52</v>
      </c>
      <c r="L173" s="6"/>
      <c r="M173" s="6" t="s">
        <v>1118</v>
      </c>
      <c r="N173" s="6" t="s">
        <v>1000</v>
      </c>
      <c r="O173" s="6" t="s">
        <v>380</v>
      </c>
      <c r="P173" s="6" t="s">
        <v>310</v>
      </c>
      <c r="Q173" s="8" t="n">
        <v>0.348</v>
      </c>
      <c r="R173" s="6"/>
      <c r="S173" s="6" t="s">
        <v>46</v>
      </c>
      <c r="T173" s="6" t="s">
        <v>311</v>
      </c>
      <c r="U173" s="8" t="n">
        <v>0.392</v>
      </c>
      <c r="V173" s="9" t="s">
        <v>58</v>
      </c>
      <c r="W173" s="6" t="s">
        <v>59</v>
      </c>
    </row>
    <row r="174" customFormat="false" ht="48" hidden="false" customHeight="true" outlineLevel="0" collapsed="false">
      <c r="A174" s="4" t="n">
        <v>273</v>
      </c>
      <c r="B174" s="4" t="s">
        <v>1119</v>
      </c>
      <c r="C174" s="5" t="s">
        <v>1120</v>
      </c>
      <c r="D174" s="6"/>
      <c r="E174" s="6"/>
      <c r="F174" s="6" t="s">
        <v>1121</v>
      </c>
      <c r="G174" s="6" t="s">
        <v>26</v>
      </c>
      <c r="H174" s="7" t="s">
        <v>1122</v>
      </c>
      <c r="I174" s="7" t="s">
        <v>28</v>
      </c>
      <c r="J174" s="6" t="s">
        <v>1123</v>
      </c>
      <c r="K174" s="6" t="s">
        <v>30</v>
      </c>
      <c r="L174" s="6"/>
      <c r="M174" s="6" t="s">
        <v>1124</v>
      </c>
      <c r="N174" s="6" t="s">
        <v>1125</v>
      </c>
      <c r="O174" s="6" t="s">
        <v>1126</v>
      </c>
      <c r="P174" s="6" t="s">
        <v>1127</v>
      </c>
      <c r="Q174" s="8" t="n">
        <v>0.222</v>
      </c>
      <c r="R174" s="6" t="s">
        <v>1127</v>
      </c>
      <c r="S174" s="6" t="s">
        <v>35</v>
      </c>
      <c r="T174" s="6" t="s">
        <v>1128</v>
      </c>
      <c r="U174" s="8" t="n">
        <v>0.077</v>
      </c>
      <c r="V174" s="10" t="s">
        <v>78</v>
      </c>
      <c r="W174" s="5" t="s">
        <v>1129</v>
      </c>
    </row>
    <row r="175" customFormat="false" ht="48" hidden="false" customHeight="true" outlineLevel="0" collapsed="false">
      <c r="A175" s="4" t="n">
        <v>274</v>
      </c>
      <c r="B175" s="4" t="s">
        <v>1130</v>
      </c>
      <c r="C175" s="5" t="s">
        <v>1131</v>
      </c>
      <c r="D175" s="6"/>
      <c r="E175" s="6"/>
      <c r="F175" s="6" t="s">
        <v>1132</v>
      </c>
      <c r="G175" s="6" t="s">
        <v>26</v>
      </c>
      <c r="H175" s="7" t="s">
        <v>1122</v>
      </c>
      <c r="I175" s="7" t="s">
        <v>28</v>
      </c>
      <c r="J175" s="6" t="s">
        <v>1133</v>
      </c>
      <c r="K175" s="6" t="s">
        <v>30</v>
      </c>
      <c r="L175" s="6"/>
      <c r="M175" s="6" t="s">
        <v>1134</v>
      </c>
      <c r="N175" s="6" t="s">
        <v>1135</v>
      </c>
      <c r="O175" s="6" t="s">
        <v>1126</v>
      </c>
      <c r="P175" s="6" t="s">
        <v>1136</v>
      </c>
      <c r="Q175" s="8" t="n">
        <v>0.1</v>
      </c>
      <c r="R175" s="6" t="s">
        <v>1136</v>
      </c>
      <c r="S175" s="6" t="s">
        <v>35</v>
      </c>
      <c r="T175" s="6" t="s">
        <v>1137</v>
      </c>
      <c r="U175" s="8" t="n">
        <v>0.091</v>
      </c>
      <c r="V175" s="10" t="s">
        <v>78</v>
      </c>
      <c r="W175" s="5" t="s">
        <v>1138</v>
      </c>
    </row>
    <row r="176" customFormat="false" ht="48" hidden="false" customHeight="true" outlineLevel="0" collapsed="false">
      <c r="A176" s="4" t="n">
        <v>275</v>
      </c>
      <c r="B176" s="4" t="s">
        <v>1139</v>
      </c>
      <c r="C176" s="5" t="s">
        <v>1140</v>
      </c>
      <c r="D176" s="6"/>
      <c r="E176" s="6"/>
      <c r="F176" s="6" t="s">
        <v>1141</v>
      </c>
      <c r="G176" s="6" t="s">
        <v>26</v>
      </c>
      <c r="H176" s="7" t="s">
        <v>1122</v>
      </c>
      <c r="I176" s="7" t="s">
        <v>28</v>
      </c>
      <c r="J176" s="6" t="s">
        <v>1142</v>
      </c>
      <c r="K176" s="6" t="s">
        <v>30</v>
      </c>
      <c r="L176" s="6"/>
      <c r="M176" s="6" t="s">
        <v>1143</v>
      </c>
      <c r="N176" s="6" t="s">
        <v>1144</v>
      </c>
      <c r="O176" s="6" t="s">
        <v>1126</v>
      </c>
      <c r="P176" s="6" t="s">
        <v>1145</v>
      </c>
      <c r="Q176" s="8" t="n">
        <v>0.171</v>
      </c>
      <c r="R176" s="6" t="s">
        <v>1145</v>
      </c>
      <c r="S176" s="6" t="s">
        <v>35</v>
      </c>
      <c r="T176" s="6" t="s">
        <v>1137</v>
      </c>
      <c r="U176" s="8" t="n">
        <v>0.086</v>
      </c>
      <c r="V176" s="10" t="s">
        <v>78</v>
      </c>
      <c r="W176" s="5" t="s">
        <v>1146</v>
      </c>
    </row>
    <row r="177" customFormat="false" ht="48" hidden="false" customHeight="true" outlineLevel="0" collapsed="false">
      <c r="A177" s="4" t="n">
        <v>276</v>
      </c>
      <c r="B177" s="4" t="s">
        <v>1147</v>
      </c>
      <c r="C177" s="5" t="s">
        <v>1148</v>
      </c>
      <c r="D177" s="6"/>
      <c r="E177" s="6"/>
      <c r="F177" s="6" t="s">
        <v>1149</v>
      </c>
      <c r="G177" s="6" t="s">
        <v>26</v>
      </c>
      <c r="H177" s="7" t="s">
        <v>1122</v>
      </c>
      <c r="I177" s="7" t="s">
        <v>28</v>
      </c>
      <c r="J177" s="6" t="s">
        <v>1150</v>
      </c>
      <c r="K177" s="6" t="s">
        <v>52</v>
      </c>
      <c r="L177" s="6"/>
      <c r="M177" s="6" t="s">
        <v>1151</v>
      </c>
      <c r="N177" s="6" t="s">
        <v>1152</v>
      </c>
      <c r="O177" s="6" t="s">
        <v>1153</v>
      </c>
      <c r="P177" s="6" t="s">
        <v>1154</v>
      </c>
      <c r="Q177" s="8" t="n">
        <v>0.51</v>
      </c>
      <c r="R177" s="6" t="s">
        <v>1154</v>
      </c>
      <c r="S177" s="6" t="s">
        <v>35</v>
      </c>
      <c r="T177" s="6" t="s">
        <v>1155</v>
      </c>
      <c r="U177" s="8" t="n">
        <v>0.356</v>
      </c>
      <c r="V177" s="10" t="s">
        <v>78</v>
      </c>
      <c r="W177" s="5" t="s">
        <v>1156</v>
      </c>
    </row>
    <row r="178" customFormat="false" ht="48" hidden="false" customHeight="true" outlineLevel="0" collapsed="false">
      <c r="A178" s="4" t="n">
        <v>277</v>
      </c>
      <c r="B178" s="4" t="s">
        <v>1157</v>
      </c>
      <c r="C178" s="6" t="s">
        <v>1158</v>
      </c>
      <c r="D178" s="6"/>
      <c r="E178" s="6"/>
      <c r="F178" s="6" t="s">
        <v>1159</v>
      </c>
      <c r="G178" s="6" t="s">
        <v>26</v>
      </c>
      <c r="H178" s="7" t="s">
        <v>1122</v>
      </c>
      <c r="I178" s="7" t="s">
        <v>28</v>
      </c>
      <c r="J178" s="6" t="s">
        <v>1160</v>
      </c>
      <c r="K178" s="6" t="s">
        <v>52</v>
      </c>
      <c r="L178" s="6"/>
      <c r="M178" s="6" t="s">
        <v>1161</v>
      </c>
      <c r="N178" s="6" t="s">
        <v>1162</v>
      </c>
      <c r="O178" s="6" t="s">
        <v>1153</v>
      </c>
      <c r="P178" s="6" t="s">
        <v>1163</v>
      </c>
      <c r="Q178" s="8" t="n">
        <v>0.449</v>
      </c>
      <c r="R178" s="6" t="s">
        <v>1163</v>
      </c>
      <c r="S178" s="6" t="s">
        <v>35</v>
      </c>
      <c r="T178" s="6" t="s">
        <v>1164</v>
      </c>
      <c r="U178" s="8" t="n">
        <v>0.349</v>
      </c>
      <c r="V178" s="10" t="s">
        <v>78</v>
      </c>
      <c r="W178" s="5" t="s">
        <v>1165</v>
      </c>
    </row>
    <row r="179" customFormat="false" ht="48" hidden="false" customHeight="true" outlineLevel="0" collapsed="false">
      <c r="A179" s="4" t="n">
        <v>278</v>
      </c>
      <c r="B179" s="4" t="s">
        <v>1166</v>
      </c>
      <c r="C179" s="6" t="s">
        <v>1167</v>
      </c>
      <c r="D179" s="6"/>
      <c r="E179" s="6"/>
      <c r="F179" s="6" t="s">
        <v>1168</v>
      </c>
      <c r="G179" s="6" t="s">
        <v>26</v>
      </c>
      <c r="H179" s="7" t="s">
        <v>1122</v>
      </c>
      <c r="I179" s="7" t="s">
        <v>28</v>
      </c>
      <c r="J179" s="6" t="s">
        <v>1169</v>
      </c>
      <c r="K179" s="6" t="s">
        <v>52</v>
      </c>
      <c r="L179" s="6"/>
      <c r="M179" s="6" t="s">
        <v>1170</v>
      </c>
      <c r="N179" s="6" t="s">
        <v>1171</v>
      </c>
      <c r="O179" s="6" t="s">
        <v>1153</v>
      </c>
      <c r="P179" s="6" t="s">
        <v>132</v>
      </c>
      <c r="Q179" s="8" t="n">
        <v>0.375</v>
      </c>
      <c r="R179" s="6"/>
      <c r="S179" s="6" t="s">
        <v>46</v>
      </c>
      <c r="T179" s="6" t="s">
        <v>101</v>
      </c>
      <c r="U179" s="8" t="n">
        <v>0.4</v>
      </c>
      <c r="V179" s="6" t="s">
        <v>37</v>
      </c>
      <c r="W179" s="6" t="s">
        <v>38</v>
      </c>
    </row>
    <row r="180" customFormat="false" ht="48" hidden="false" customHeight="true" outlineLevel="0" collapsed="false">
      <c r="A180" s="4" t="n">
        <v>279</v>
      </c>
      <c r="B180" s="4" t="s">
        <v>1172</v>
      </c>
      <c r="C180" s="5" t="s">
        <v>1173</v>
      </c>
      <c r="D180" s="6"/>
      <c r="E180" s="6"/>
      <c r="F180" s="6" t="s">
        <v>1174</v>
      </c>
      <c r="G180" s="6" t="s">
        <v>26</v>
      </c>
      <c r="H180" s="7" t="s">
        <v>1122</v>
      </c>
      <c r="I180" s="7" t="s">
        <v>28</v>
      </c>
      <c r="J180" s="6" t="s">
        <v>1175</v>
      </c>
      <c r="K180" s="6" t="s">
        <v>30</v>
      </c>
      <c r="L180" s="6"/>
      <c r="M180" s="6" t="s">
        <v>1176</v>
      </c>
      <c r="N180" s="6" t="s">
        <v>1177</v>
      </c>
      <c r="O180" s="6" t="s">
        <v>1178</v>
      </c>
      <c r="P180" s="6" t="s">
        <v>1179</v>
      </c>
      <c r="Q180" s="8" t="n">
        <v>0.444</v>
      </c>
      <c r="R180" s="6"/>
      <c r="S180" s="6" t="s">
        <v>35</v>
      </c>
      <c r="T180" s="6" t="s">
        <v>1180</v>
      </c>
      <c r="U180" s="8" t="n">
        <v>0.321</v>
      </c>
      <c r="V180" s="6" t="s">
        <v>37</v>
      </c>
      <c r="W180" s="6" t="s">
        <v>38</v>
      </c>
    </row>
    <row r="181" customFormat="false" ht="48" hidden="false" customHeight="true" outlineLevel="0" collapsed="false">
      <c r="A181" s="4" t="n">
        <v>280</v>
      </c>
      <c r="B181" s="4" t="s">
        <v>1181</v>
      </c>
      <c r="C181" s="5" t="s">
        <v>1182</v>
      </c>
      <c r="D181" s="6"/>
      <c r="E181" s="6"/>
      <c r="F181" s="6" t="s">
        <v>1183</v>
      </c>
      <c r="G181" s="6" t="s">
        <v>26</v>
      </c>
      <c r="H181" s="7" t="s">
        <v>1122</v>
      </c>
      <c r="I181" s="7" t="s">
        <v>28</v>
      </c>
      <c r="J181" s="6" t="s">
        <v>1184</v>
      </c>
      <c r="K181" s="6" t="s">
        <v>30</v>
      </c>
      <c r="L181" s="6"/>
      <c r="M181" s="6" t="s">
        <v>1185</v>
      </c>
      <c r="N181" s="6" t="s">
        <v>1186</v>
      </c>
      <c r="O181" s="6" t="s">
        <v>1187</v>
      </c>
      <c r="P181" s="6" t="s">
        <v>1188</v>
      </c>
      <c r="Q181" s="8" t="n">
        <v>0.342</v>
      </c>
      <c r="R181" s="6"/>
      <c r="S181" s="6" t="s">
        <v>35</v>
      </c>
      <c r="T181" s="6" t="s">
        <v>1180</v>
      </c>
      <c r="U181" s="8" t="n">
        <v>0.235</v>
      </c>
      <c r="V181" s="6" t="s">
        <v>37</v>
      </c>
      <c r="W181" s="6" t="s">
        <v>38</v>
      </c>
    </row>
    <row r="182" customFormat="false" ht="48" hidden="false" customHeight="true" outlineLevel="0" collapsed="false">
      <c r="A182" s="4" t="n">
        <v>281</v>
      </c>
      <c r="B182" s="4" t="s">
        <v>1189</v>
      </c>
      <c r="C182" s="5" t="s">
        <v>1190</v>
      </c>
      <c r="D182" s="6"/>
      <c r="E182" s="6"/>
      <c r="F182" s="6" t="s">
        <v>1191</v>
      </c>
      <c r="G182" s="6" t="s">
        <v>26</v>
      </c>
      <c r="H182" s="7" t="s">
        <v>1122</v>
      </c>
      <c r="I182" s="7" t="s">
        <v>28</v>
      </c>
      <c r="J182" s="6" t="s">
        <v>1192</v>
      </c>
      <c r="K182" s="6" t="s">
        <v>658</v>
      </c>
      <c r="L182" s="6"/>
      <c r="M182" s="6" t="s">
        <v>1193</v>
      </c>
      <c r="N182" s="6" t="s">
        <v>1194</v>
      </c>
      <c r="O182" s="6" t="s">
        <v>1195</v>
      </c>
      <c r="P182" s="6" t="s">
        <v>1196</v>
      </c>
      <c r="Q182" s="8" t="n">
        <v>0.36</v>
      </c>
      <c r="R182" s="6" t="s">
        <v>1197</v>
      </c>
      <c r="S182" s="6" t="s">
        <v>35</v>
      </c>
      <c r="T182" s="6" t="s">
        <v>1198</v>
      </c>
      <c r="U182" s="8" t="n">
        <v>0.207</v>
      </c>
      <c r="V182" s="10" t="s">
        <v>78</v>
      </c>
      <c r="W182" s="5" t="s">
        <v>1199</v>
      </c>
    </row>
    <row r="183" customFormat="false" ht="48" hidden="false" customHeight="true" outlineLevel="0" collapsed="false">
      <c r="A183" s="4" t="n">
        <v>282</v>
      </c>
      <c r="B183" s="4" t="s">
        <v>1200</v>
      </c>
      <c r="C183" s="5" t="s">
        <v>1201</v>
      </c>
      <c r="D183" s="6"/>
      <c r="E183" s="6"/>
      <c r="F183" s="6" t="s">
        <v>1202</v>
      </c>
      <c r="G183" s="6" t="s">
        <v>26</v>
      </c>
      <c r="H183" s="7" t="s">
        <v>1122</v>
      </c>
      <c r="I183" s="7" t="s">
        <v>28</v>
      </c>
      <c r="J183" s="6" t="s">
        <v>1203</v>
      </c>
      <c r="K183" s="6" t="s">
        <v>30</v>
      </c>
      <c r="L183" s="6"/>
      <c r="M183" s="6" t="s">
        <v>1204</v>
      </c>
      <c r="N183" s="6" t="s">
        <v>1205</v>
      </c>
      <c r="O183" s="6" t="s">
        <v>1206</v>
      </c>
      <c r="P183" s="6" t="s">
        <v>1207</v>
      </c>
      <c r="Q183" s="8" t="n">
        <v>0.556</v>
      </c>
      <c r="R183" s="6"/>
      <c r="S183" s="6" t="s">
        <v>46</v>
      </c>
      <c r="T183" s="6" t="s">
        <v>1198</v>
      </c>
      <c r="U183" s="8" t="n">
        <v>0.079</v>
      </c>
      <c r="V183" s="10" t="s">
        <v>78</v>
      </c>
      <c r="W183" s="6" t="s">
        <v>1208</v>
      </c>
    </row>
    <row r="184" customFormat="false" ht="48" hidden="false" customHeight="true" outlineLevel="0" collapsed="false">
      <c r="A184" s="4" t="n">
        <v>283</v>
      </c>
      <c r="B184" s="4" t="s">
        <v>1209</v>
      </c>
      <c r="C184" s="6" t="s">
        <v>1210</v>
      </c>
      <c r="D184" s="6"/>
      <c r="E184" s="6"/>
      <c r="F184" s="6" t="s">
        <v>1211</v>
      </c>
      <c r="G184" s="6" t="s">
        <v>26</v>
      </c>
      <c r="H184" s="7" t="s">
        <v>1122</v>
      </c>
      <c r="I184" s="7" t="s">
        <v>28</v>
      </c>
      <c r="J184" s="6" t="s">
        <v>1212</v>
      </c>
      <c r="K184" s="6" t="s">
        <v>52</v>
      </c>
      <c r="L184" s="6"/>
      <c r="M184" s="6" t="s">
        <v>1213</v>
      </c>
      <c r="N184" s="6" t="s">
        <v>1214</v>
      </c>
      <c r="O184" s="6" t="s">
        <v>1215</v>
      </c>
      <c r="P184" s="6" t="s">
        <v>132</v>
      </c>
      <c r="Q184" s="8" t="n">
        <v>0.367</v>
      </c>
      <c r="R184" s="6"/>
      <c r="S184" s="6" t="s">
        <v>46</v>
      </c>
      <c r="T184" s="6" t="s">
        <v>311</v>
      </c>
      <c r="U184" s="8" t="n">
        <v>0.333</v>
      </c>
      <c r="V184" s="6" t="s">
        <v>37</v>
      </c>
      <c r="W184" s="6" t="s">
        <v>38</v>
      </c>
    </row>
    <row r="185" customFormat="false" ht="48" hidden="false" customHeight="true" outlineLevel="0" collapsed="false">
      <c r="A185" s="4" t="n">
        <v>284</v>
      </c>
      <c r="B185" s="4" t="s">
        <v>1216</v>
      </c>
      <c r="C185" s="6" t="s">
        <v>1217</v>
      </c>
      <c r="D185" s="6"/>
      <c r="E185" s="6"/>
      <c r="F185" s="6" t="s">
        <v>1218</v>
      </c>
      <c r="G185" s="6" t="s">
        <v>26</v>
      </c>
      <c r="H185" s="7" t="s">
        <v>1122</v>
      </c>
      <c r="I185" s="7" t="s">
        <v>28</v>
      </c>
      <c r="J185" s="6" t="s">
        <v>1219</v>
      </c>
      <c r="K185" s="6" t="s">
        <v>52</v>
      </c>
      <c r="L185" s="6"/>
      <c r="M185" s="6" t="s">
        <v>1220</v>
      </c>
      <c r="N185" s="6" t="s">
        <v>1221</v>
      </c>
      <c r="O185" s="6" t="s">
        <v>1222</v>
      </c>
      <c r="P185" s="6" t="s">
        <v>1163</v>
      </c>
      <c r="Q185" s="8" t="n">
        <v>0.389</v>
      </c>
      <c r="R185" s="6"/>
      <c r="S185" s="6" t="s">
        <v>46</v>
      </c>
      <c r="T185" s="6" t="s">
        <v>311</v>
      </c>
      <c r="U185" s="8" t="n">
        <v>0.327</v>
      </c>
      <c r="V185" s="6" t="s">
        <v>37</v>
      </c>
      <c r="W185" s="6" t="s">
        <v>38</v>
      </c>
    </row>
    <row r="186" customFormat="false" ht="48" hidden="false" customHeight="true" outlineLevel="0" collapsed="false">
      <c r="A186" s="4" t="n">
        <v>285</v>
      </c>
      <c r="B186" s="4" t="s">
        <v>1223</v>
      </c>
      <c r="C186" s="5" t="s">
        <v>1224</v>
      </c>
      <c r="D186" s="6"/>
      <c r="E186" s="6"/>
      <c r="F186" s="6" t="s">
        <v>1225</v>
      </c>
      <c r="G186" s="6" t="s">
        <v>26</v>
      </c>
      <c r="H186" s="7" t="s">
        <v>1122</v>
      </c>
      <c r="I186" s="7" t="s">
        <v>28</v>
      </c>
      <c r="J186" s="6" t="s">
        <v>1226</v>
      </c>
      <c r="K186" s="6" t="s">
        <v>658</v>
      </c>
      <c r="L186" s="6"/>
      <c r="M186" s="6" t="s">
        <v>1227</v>
      </c>
      <c r="N186" s="6" t="s">
        <v>1194</v>
      </c>
      <c r="O186" s="6" t="s">
        <v>1195</v>
      </c>
      <c r="P186" s="6" t="s">
        <v>1228</v>
      </c>
      <c r="Q186" s="8" t="n">
        <v>0.222</v>
      </c>
      <c r="R186" s="6"/>
      <c r="S186" s="6" t="s">
        <v>35</v>
      </c>
      <c r="T186" s="6" t="s">
        <v>1198</v>
      </c>
      <c r="U186" s="8" t="n">
        <v>0.091</v>
      </c>
      <c r="V186" s="6" t="s">
        <v>37</v>
      </c>
      <c r="W186" s="6" t="s">
        <v>38</v>
      </c>
    </row>
    <row r="187" customFormat="false" ht="48" hidden="false" customHeight="true" outlineLevel="0" collapsed="false">
      <c r="A187" s="4" t="n">
        <v>286</v>
      </c>
      <c r="B187" s="4" t="s">
        <v>1229</v>
      </c>
      <c r="C187" s="5" t="s">
        <v>1230</v>
      </c>
      <c r="D187" s="6"/>
      <c r="E187" s="6"/>
      <c r="F187" s="6" t="s">
        <v>1231</v>
      </c>
      <c r="G187" s="6" t="s">
        <v>26</v>
      </c>
      <c r="H187" s="7" t="s">
        <v>1122</v>
      </c>
      <c r="I187" s="7" t="s">
        <v>142</v>
      </c>
      <c r="J187" s="6" t="s">
        <v>1232</v>
      </c>
      <c r="K187" s="6" t="s">
        <v>30</v>
      </c>
      <c r="L187" s="6"/>
      <c r="M187" s="6" t="s">
        <v>1233</v>
      </c>
      <c r="N187" s="6" t="s">
        <v>1234</v>
      </c>
      <c r="O187" s="6" t="s">
        <v>1126</v>
      </c>
      <c r="P187" s="6" t="s">
        <v>1235</v>
      </c>
      <c r="Q187" s="8" t="n">
        <v>0.162</v>
      </c>
      <c r="R187" s="6" t="s">
        <v>1235</v>
      </c>
      <c r="S187" s="6" t="s">
        <v>35</v>
      </c>
      <c r="T187" s="6" t="s">
        <v>188</v>
      </c>
      <c r="U187" s="8" t="n">
        <v>0.167</v>
      </c>
      <c r="V187" s="10" t="s">
        <v>78</v>
      </c>
      <c r="W187" s="5" t="s">
        <v>1236</v>
      </c>
    </row>
    <row r="188" customFormat="false" ht="48" hidden="false" customHeight="true" outlineLevel="0" collapsed="false">
      <c r="A188" s="4" t="n">
        <v>287</v>
      </c>
      <c r="B188" s="4" t="s">
        <v>1237</v>
      </c>
      <c r="C188" s="5" t="s">
        <v>1238</v>
      </c>
      <c r="D188" s="6"/>
      <c r="E188" s="6"/>
      <c r="F188" s="6" t="s">
        <v>1239</v>
      </c>
      <c r="G188" s="6" t="s">
        <v>26</v>
      </c>
      <c r="H188" s="7" t="s">
        <v>1122</v>
      </c>
      <c r="I188" s="7" t="s">
        <v>142</v>
      </c>
      <c r="J188" s="6" t="s">
        <v>1240</v>
      </c>
      <c r="K188" s="6" t="s">
        <v>30</v>
      </c>
      <c r="L188" s="6"/>
      <c r="M188" s="6" t="s">
        <v>1241</v>
      </c>
      <c r="N188" s="6" t="s">
        <v>1242</v>
      </c>
      <c r="O188" s="6" t="s">
        <v>1126</v>
      </c>
      <c r="P188" s="6" t="s">
        <v>237</v>
      </c>
      <c r="Q188" s="8" t="n">
        <v>0.078</v>
      </c>
      <c r="R188" s="6"/>
      <c r="S188" s="6" t="s">
        <v>46</v>
      </c>
      <c r="T188" s="6" t="s">
        <v>663</v>
      </c>
      <c r="U188" s="8" t="n">
        <v>0.083</v>
      </c>
      <c r="V188" s="6" t="s">
        <v>37</v>
      </c>
      <c r="W188" s="6" t="s">
        <v>38</v>
      </c>
    </row>
    <row r="189" customFormat="false" ht="48" hidden="false" customHeight="true" outlineLevel="0" collapsed="false">
      <c r="A189" s="4" t="n">
        <v>288</v>
      </c>
      <c r="B189" s="4" t="s">
        <v>1243</v>
      </c>
      <c r="C189" s="5" t="s">
        <v>1244</v>
      </c>
      <c r="D189" s="6"/>
      <c r="E189" s="6"/>
      <c r="F189" s="6" t="s">
        <v>1245</v>
      </c>
      <c r="G189" s="6" t="s">
        <v>26</v>
      </c>
      <c r="H189" s="7" t="s">
        <v>1122</v>
      </c>
      <c r="I189" s="7" t="s">
        <v>142</v>
      </c>
      <c r="J189" s="6" t="s">
        <v>1246</v>
      </c>
      <c r="K189" s="6" t="s">
        <v>30</v>
      </c>
      <c r="L189" s="6"/>
      <c r="M189" s="6" t="s">
        <v>1247</v>
      </c>
      <c r="N189" s="6" t="s">
        <v>1248</v>
      </c>
      <c r="O189" s="6" t="s">
        <v>1126</v>
      </c>
      <c r="P189" s="6" t="s">
        <v>1249</v>
      </c>
      <c r="Q189" s="8" t="n">
        <v>0.107</v>
      </c>
      <c r="R189" s="6"/>
      <c r="S189" s="6" t="s">
        <v>35</v>
      </c>
      <c r="T189" s="6" t="s">
        <v>429</v>
      </c>
      <c r="U189" s="8" t="n">
        <v>0.125</v>
      </c>
      <c r="V189" s="6" t="s">
        <v>37</v>
      </c>
      <c r="W189" s="6" t="s">
        <v>38</v>
      </c>
    </row>
    <row r="190" customFormat="false" ht="48" hidden="false" customHeight="true" outlineLevel="0" collapsed="false">
      <c r="A190" s="4" t="n">
        <v>289</v>
      </c>
      <c r="B190" s="4" t="s">
        <v>1250</v>
      </c>
      <c r="C190" s="5" t="s">
        <v>1251</v>
      </c>
      <c r="D190" s="6"/>
      <c r="E190" s="6"/>
      <c r="F190" s="6" t="s">
        <v>1252</v>
      </c>
      <c r="G190" s="6" t="s">
        <v>26</v>
      </c>
      <c r="H190" s="7" t="s">
        <v>1122</v>
      </c>
      <c r="I190" s="7" t="s">
        <v>142</v>
      </c>
      <c r="J190" s="6" t="s">
        <v>1253</v>
      </c>
      <c r="K190" s="6" t="s">
        <v>30</v>
      </c>
      <c r="L190" s="6"/>
      <c r="M190" s="6" t="s">
        <v>1254</v>
      </c>
      <c r="N190" s="6" t="s">
        <v>1255</v>
      </c>
      <c r="O190" s="6" t="s">
        <v>1126</v>
      </c>
      <c r="P190" s="6" t="s">
        <v>1256</v>
      </c>
      <c r="Q190" s="8" t="n">
        <v>0.725</v>
      </c>
      <c r="R190" s="6" t="s">
        <v>1256</v>
      </c>
      <c r="S190" s="6" t="s">
        <v>35</v>
      </c>
      <c r="T190" s="6" t="s">
        <v>1257</v>
      </c>
      <c r="U190" s="8" t="n">
        <v>0.261</v>
      </c>
      <c r="V190" s="10" t="s">
        <v>78</v>
      </c>
      <c r="W190" s="5" t="s">
        <v>1258</v>
      </c>
    </row>
    <row r="191" customFormat="false" ht="48" hidden="false" customHeight="true" outlineLevel="0" collapsed="false">
      <c r="A191" s="4" t="n">
        <v>290</v>
      </c>
      <c r="B191" s="4" t="s">
        <v>1259</v>
      </c>
      <c r="C191" s="6" t="s">
        <v>1260</v>
      </c>
      <c r="D191" s="6"/>
      <c r="E191" s="6"/>
      <c r="F191" s="6" t="s">
        <v>1261</v>
      </c>
      <c r="G191" s="6" t="s">
        <v>26</v>
      </c>
      <c r="H191" s="7" t="s">
        <v>1122</v>
      </c>
      <c r="I191" s="7" t="s">
        <v>142</v>
      </c>
      <c r="J191" s="6" t="s">
        <v>1262</v>
      </c>
      <c r="K191" s="6" t="s">
        <v>52</v>
      </c>
      <c r="L191" s="6"/>
      <c r="M191" s="6" t="s">
        <v>1263</v>
      </c>
      <c r="N191" s="6" t="s">
        <v>1264</v>
      </c>
      <c r="O191" s="6" t="s">
        <v>1153</v>
      </c>
      <c r="P191" s="6" t="s">
        <v>1163</v>
      </c>
      <c r="Q191" s="8" t="n">
        <v>0.423</v>
      </c>
      <c r="R191" s="6"/>
      <c r="S191" s="6" t="s">
        <v>46</v>
      </c>
      <c r="T191" s="6" t="s">
        <v>1164</v>
      </c>
      <c r="U191" s="8" t="n">
        <v>0.513</v>
      </c>
      <c r="V191" s="10" t="s">
        <v>625</v>
      </c>
      <c r="W191" s="6" t="s">
        <v>1265</v>
      </c>
    </row>
    <row r="192" customFormat="false" ht="48" hidden="false" customHeight="true" outlineLevel="0" collapsed="false">
      <c r="A192" s="4" t="n">
        <v>291</v>
      </c>
      <c r="B192" s="4" t="s">
        <v>1266</v>
      </c>
      <c r="C192" s="5" t="s">
        <v>1267</v>
      </c>
      <c r="D192" s="6"/>
      <c r="E192" s="6"/>
      <c r="F192" s="6" t="s">
        <v>1268</v>
      </c>
      <c r="G192" s="6" t="s">
        <v>26</v>
      </c>
      <c r="H192" s="7" t="s">
        <v>1122</v>
      </c>
      <c r="I192" s="7" t="s">
        <v>142</v>
      </c>
      <c r="J192" s="6" t="s">
        <v>1269</v>
      </c>
      <c r="K192" s="6" t="s">
        <v>30</v>
      </c>
      <c r="L192" s="6"/>
      <c r="M192" s="6" t="s">
        <v>1270</v>
      </c>
      <c r="N192" s="6" t="s">
        <v>1271</v>
      </c>
      <c r="O192" s="6" t="s">
        <v>1178</v>
      </c>
      <c r="P192" s="6" t="s">
        <v>1179</v>
      </c>
      <c r="Q192" s="8" t="n">
        <v>1</v>
      </c>
      <c r="R192" s="6" t="s">
        <v>1179</v>
      </c>
      <c r="S192" s="6" t="s">
        <v>35</v>
      </c>
      <c r="T192" s="6" t="s">
        <v>197</v>
      </c>
      <c r="U192" s="8" t="n">
        <v>0.222</v>
      </c>
      <c r="V192" s="10" t="s">
        <v>78</v>
      </c>
      <c r="W192" s="5" t="s">
        <v>1272</v>
      </c>
    </row>
    <row r="193" customFormat="false" ht="48" hidden="false" customHeight="true" outlineLevel="0" collapsed="false">
      <c r="A193" s="4" t="n">
        <v>292</v>
      </c>
      <c r="B193" s="4" t="s">
        <v>1273</v>
      </c>
      <c r="C193" s="5" t="s">
        <v>1274</v>
      </c>
      <c r="D193" s="6"/>
      <c r="E193" s="6"/>
      <c r="F193" s="6" t="s">
        <v>1275</v>
      </c>
      <c r="G193" s="6" t="s">
        <v>26</v>
      </c>
      <c r="H193" s="7" t="s">
        <v>1122</v>
      </c>
      <c r="I193" s="7" t="s">
        <v>142</v>
      </c>
      <c r="J193" s="6" t="s">
        <v>1276</v>
      </c>
      <c r="K193" s="6" t="s">
        <v>30</v>
      </c>
      <c r="L193" s="6"/>
      <c r="M193" s="6" t="s">
        <v>1277</v>
      </c>
      <c r="N193" s="6" t="s">
        <v>1278</v>
      </c>
      <c r="O193" s="6" t="s">
        <v>1187</v>
      </c>
      <c r="P193" s="6" t="s">
        <v>1279</v>
      </c>
      <c r="Q193" s="8" t="n">
        <v>0.621</v>
      </c>
      <c r="R193" s="6" t="s">
        <v>1279</v>
      </c>
      <c r="S193" s="6" t="s">
        <v>35</v>
      </c>
      <c r="T193" s="6" t="s">
        <v>197</v>
      </c>
      <c r="U193" s="8" t="n">
        <v>0.114</v>
      </c>
      <c r="V193" s="10" t="s">
        <v>78</v>
      </c>
      <c r="W193" s="5" t="s">
        <v>1280</v>
      </c>
    </row>
    <row r="194" customFormat="false" ht="48" hidden="false" customHeight="true" outlineLevel="0" collapsed="false">
      <c r="A194" s="4" t="n">
        <v>293</v>
      </c>
      <c r="B194" s="4" t="s">
        <v>1281</v>
      </c>
      <c r="C194" s="5" t="s">
        <v>1282</v>
      </c>
      <c r="D194" s="6"/>
      <c r="E194" s="6"/>
      <c r="F194" s="6" t="s">
        <v>1283</v>
      </c>
      <c r="G194" s="6" t="s">
        <v>26</v>
      </c>
      <c r="H194" s="7" t="s">
        <v>1122</v>
      </c>
      <c r="I194" s="7" t="s">
        <v>142</v>
      </c>
      <c r="J194" s="6" t="s">
        <v>1284</v>
      </c>
      <c r="K194" s="6" t="s">
        <v>30</v>
      </c>
      <c r="L194" s="6"/>
      <c r="M194" s="6" t="s">
        <v>1285</v>
      </c>
      <c r="N194" s="6" t="s">
        <v>1286</v>
      </c>
      <c r="O194" s="6" t="s">
        <v>1206</v>
      </c>
      <c r="P194" s="6" t="s">
        <v>1196</v>
      </c>
      <c r="Q194" s="8" t="n">
        <v>0.633</v>
      </c>
      <c r="R194" s="6"/>
      <c r="S194" s="6" t="s">
        <v>35</v>
      </c>
      <c r="T194" s="6" t="s">
        <v>1198</v>
      </c>
      <c r="U194" s="8" t="n">
        <v>0.429</v>
      </c>
      <c r="V194" s="10" t="s">
        <v>78</v>
      </c>
      <c r="W194" s="6" t="s">
        <v>1287</v>
      </c>
    </row>
    <row r="195" customFormat="false" ht="48" hidden="false" customHeight="true" outlineLevel="0" collapsed="false">
      <c r="A195" s="4" t="n">
        <v>294</v>
      </c>
      <c r="B195" s="4" t="s">
        <v>1288</v>
      </c>
      <c r="C195" s="5" t="s">
        <v>1289</v>
      </c>
      <c r="D195" s="6"/>
      <c r="E195" s="6"/>
      <c r="F195" s="6" t="s">
        <v>1290</v>
      </c>
      <c r="G195" s="6" t="s">
        <v>26</v>
      </c>
      <c r="H195" s="7" t="s">
        <v>1122</v>
      </c>
      <c r="I195" s="7" t="s">
        <v>142</v>
      </c>
      <c r="J195" s="6" t="s">
        <v>1291</v>
      </c>
      <c r="K195" s="6" t="s">
        <v>30</v>
      </c>
      <c r="L195" s="6"/>
      <c r="M195" s="6" t="s">
        <v>1292</v>
      </c>
      <c r="N195" s="6" t="s">
        <v>1286</v>
      </c>
      <c r="O195" s="6" t="s">
        <v>1206</v>
      </c>
      <c r="P195" s="6" t="s">
        <v>1293</v>
      </c>
      <c r="Q195" s="8" t="n">
        <v>0.5</v>
      </c>
      <c r="R195" s="6"/>
      <c r="S195" s="6" t="s">
        <v>35</v>
      </c>
      <c r="T195" s="6" t="s">
        <v>1294</v>
      </c>
      <c r="U195" s="8" t="n">
        <v>0.13</v>
      </c>
      <c r="V195" s="10" t="s">
        <v>78</v>
      </c>
      <c r="W195" s="6" t="s">
        <v>1295</v>
      </c>
    </row>
    <row r="196" customFormat="false" ht="48" hidden="false" customHeight="true" outlineLevel="0" collapsed="false">
      <c r="A196" s="4" t="n">
        <v>295</v>
      </c>
      <c r="B196" s="4" t="s">
        <v>1296</v>
      </c>
      <c r="C196" s="5" t="s">
        <v>1297</v>
      </c>
      <c r="D196" s="6"/>
      <c r="E196" s="6"/>
      <c r="F196" s="6" t="s">
        <v>1298</v>
      </c>
      <c r="G196" s="6" t="s">
        <v>26</v>
      </c>
      <c r="H196" s="7" t="s">
        <v>1122</v>
      </c>
      <c r="I196" s="7" t="s">
        <v>142</v>
      </c>
      <c r="J196" s="6" t="s">
        <v>1299</v>
      </c>
      <c r="K196" s="6" t="s">
        <v>30</v>
      </c>
      <c r="L196" s="6"/>
      <c r="M196" s="6" t="s">
        <v>1300</v>
      </c>
      <c r="N196" s="6" t="s">
        <v>1301</v>
      </c>
      <c r="O196" s="6" t="s">
        <v>1178</v>
      </c>
      <c r="P196" s="6" t="s">
        <v>1302</v>
      </c>
      <c r="Q196" s="8" t="n">
        <v>0.444</v>
      </c>
      <c r="R196" s="6"/>
      <c r="S196" s="6" t="s">
        <v>46</v>
      </c>
      <c r="T196" s="6" t="s">
        <v>1180</v>
      </c>
      <c r="U196" s="8" t="n">
        <v>0.4</v>
      </c>
      <c r="V196" s="9" t="s">
        <v>58</v>
      </c>
      <c r="W196" s="6" t="s">
        <v>59</v>
      </c>
    </row>
    <row r="197" customFormat="false" ht="48" hidden="false" customHeight="true" outlineLevel="0" collapsed="false">
      <c r="A197" s="4" t="n">
        <v>296</v>
      </c>
      <c r="B197" s="4" t="s">
        <v>1303</v>
      </c>
      <c r="C197" s="5" t="s">
        <v>1304</v>
      </c>
      <c r="D197" s="6"/>
      <c r="E197" s="6"/>
      <c r="F197" s="6" t="s">
        <v>1305</v>
      </c>
      <c r="G197" s="6" t="s">
        <v>26</v>
      </c>
      <c r="H197" s="7" t="s">
        <v>1122</v>
      </c>
      <c r="I197" s="7" t="s">
        <v>142</v>
      </c>
      <c r="J197" s="6" t="s">
        <v>1306</v>
      </c>
      <c r="K197" s="6" t="s">
        <v>30</v>
      </c>
      <c r="L197" s="6"/>
      <c r="M197" s="6" t="s">
        <v>1307</v>
      </c>
      <c r="N197" s="6" t="s">
        <v>1308</v>
      </c>
      <c r="O197" s="6" t="s">
        <v>1187</v>
      </c>
      <c r="P197" s="6" t="s">
        <v>1302</v>
      </c>
      <c r="Q197" s="8" t="n">
        <v>0.286</v>
      </c>
      <c r="R197" s="6"/>
      <c r="S197" s="6" t="s">
        <v>46</v>
      </c>
      <c r="T197" s="6" t="s">
        <v>1180</v>
      </c>
      <c r="U197" s="8" t="n">
        <v>0.263</v>
      </c>
      <c r="V197" s="6" t="s">
        <v>37</v>
      </c>
      <c r="W197" s="6" t="s">
        <v>38</v>
      </c>
    </row>
    <row r="198" customFormat="false" ht="48" hidden="false" customHeight="true" outlineLevel="0" collapsed="false">
      <c r="A198" s="4" t="n">
        <v>297</v>
      </c>
      <c r="B198" s="4" t="s">
        <v>1309</v>
      </c>
      <c r="C198" s="5" t="s">
        <v>1310</v>
      </c>
      <c r="D198" s="6"/>
      <c r="E198" s="6"/>
      <c r="F198" s="6" t="s">
        <v>1311</v>
      </c>
      <c r="G198" s="6" t="s">
        <v>26</v>
      </c>
      <c r="H198" s="7" t="s">
        <v>1122</v>
      </c>
      <c r="I198" s="7" t="s">
        <v>142</v>
      </c>
      <c r="J198" s="6" t="s">
        <v>1312</v>
      </c>
      <c r="K198" s="6" t="s">
        <v>30</v>
      </c>
      <c r="L198" s="6"/>
      <c r="M198" s="6" t="s">
        <v>1313</v>
      </c>
      <c r="N198" s="6" t="s">
        <v>1314</v>
      </c>
      <c r="O198" s="6" t="s">
        <v>1206</v>
      </c>
      <c r="P198" s="6" t="s">
        <v>1315</v>
      </c>
      <c r="Q198" s="8" t="n">
        <v>0.419</v>
      </c>
      <c r="R198" s="6"/>
      <c r="S198" s="6" t="s">
        <v>35</v>
      </c>
      <c r="T198" s="6" t="s">
        <v>1198</v>
      </c>
      <c r="U198" s="8" t="n">
        <v>0.222</v>
      </c>
      <c r="V198" s="6" t="s">
        <v>37</v>
      </c>
      <c r="W198" s="6" t="s">
        <v>38</v>
      </c>
    </row>
    <row r="199" customFormat="false" ht="48" hidden="false" customHeight="true" outlineLevel="0" collapsed="false">
      <c r="A199" s="4" t="n">
        <v>298</v>
      </c>
      <c r="B199" s="4" t="s">
        <v>1316</v>
      </c>
      <c r="C199" s="5" t="s">
        <v>1317</v>
      </c>
      <c r="D199" s="6"/>
      <c r="E199" s="6"/>
      <c r="F199" s="6" t="s">
        <v>1318</v>
      </c>
      <c r="G199" s="6" t="s">
        <v>26</v>
      </c>
      <c r="H199" s="7" t="s">
        <v>1122</v>
      </c>
      <c r="I199" s="7" t="s">
        <v>142</v>
      </c>
      <c r="J199" s="6" t="s">
        <v>1319</v>
      </c>
      <c r="K199" s="6" t="s">
        <v>30</v>
      </c>
      <c r="L199" s="6"/>
      <c r="M199" s="6" t="s">
        <v>1320</v>
      </c>
      <c r="N199" s="6" t="s">
        <v>1314</v>
      </c>
      <c r="O199" s="6" t="s">
        <v>1206</v>
      </c>
      <c r="P199" s="6" t="s">
        <v>1315</v>
      </c>
      <c r="Q199" s="8" t="n">
        <v>0.483</v>
      </c>
      <c r="R199" s="6"/>
      <c r="S199" s="6" t="s">
        <v>35</v>
      </c>
      <c r="T199" s="6" t="s">
        <v>1198</v>
      </c>
      <c r="U199" s="8" t="n">
        <v>0.132</v>
      </c>
      <c r="V199" s="6" t="s">
        <v>37</v>
      </c>
      <c r="W199" s="6" t="s">
        <v>38</v>
      </c>
    </row>
    <row r="200" customFormat="false" ht="48" hidden="false" customHeight="true" outlineLevel="0" collapsed="false">
      <c r="A200" s="4" t="n">
        <v>299</v>
      </c>
      <c r="B200" s="4" t="s">
        <v>1321</v>
      </c>
      <c r="C200" s="5" t="s">
        <v>1322</v>
      </c>
      <c r="D200" s="6"/>
      <c r="E200" s="6"/>
      <c r="F200" s="6" t="s">
        <v>1323</v>
      </c>
      <c r="G200" s="6" t="s">
        <v>26</v>
      </c>
      <c r="H200" s="7" t="s">
        <v>1122</v>
      </c>
      <c r="I200" s="7" t="s">
        <v>142</v>
      </c>
      <c r="J200" s="6" t="s">
        <v>1324</v>
      </c>
      <c r="K200" s="6" t="s">
        <v>658</v>
      </c>
      <c r="L200" s="6"/>
      <c r="M200" s="6" t="s">
        <v>1325</v>
      </c>
      <c r="N200" s="6" t="s">
        <v>1326</v>
      </c>
      <c r="O200" s="6" t="s">
        <v>1195</v>
      </c>
      <c r="P200" s="6" t="s">
        <v>1196</v>
      </c>
      <c r="Q200" s="8" t="n">
        <v>0.194</v>
      </c>
      <c r="R200" s="6"/>
      <c r="S200" s="6" t="s">
        <v>35</v>
      </c>
      <c r="T200" s="6" t="s">
        <v>1327</v>
      </c>
      <c r="U200" s="8" t="n">
        <v>0.125</v>
      </c>
      <c r="V200" s="9" t="s">
        <v>58</v>
      </c>
      <c r="W200" s="6" t="s">
        <v>59</v>
      </c>
    </row>
    <row r="201" customFormat="false" ht="48" hidden="false" customHeight="true" outlineLevel="0" collapsed="false">
      <c r="A201" s="4" t="n">
        <v>300</v>
      </c>
      <c r="B201" s="4" t="s">
        <v>1328</v>
      </c>
      <c r="C201" s="5" t="s">
        <v>1329</v>
      </c>
      <c r="D201" s="6"/>
      <c r="E201" s="6"/>
      <c r="F201" s="6" t="s">
        <v>1330</v>
      </c>
      <c r="G201" s="6" t="s">
        <v>26</v>
      </c>
      <c r="H201" s="7" t="s">
        <v>1122</v>
      </c>
      <c r="I201" s="7" t="s">
        <v>142</v>
      </c>
      <c r="J201" s="6" t="s">
        <v>1331</v>
      </c>
      <c r="K201" s="6" t="s">
        <v>658</v>
      </c>
      <c r="L201" s="6"/>
      <c r="M201" s="6" t="s">
        <v>1332</v>
      </c>
      <c r="N201" s="6" t="s">
        <v>1326</v>
      </c>
      <c r="O201" s="6" t="s">
        <v>1195</v>
      </c>
      <c r="P201" s="6" t="s">
        <v>1293</v>
      </c>
      <c r="Q201" s="8" t="n">
        <v>0.212</v>
      </c>
      <c r="R201" s="6"/>
      <c r="S201" s="6" t="s">
        <v>35</v>
      </c>
      <c r="T201" s="6" t="s">
        <v>1198</v>
      </c>
      <c r="U201" s="8" t="n">
        <v>0.114</v>
      </c>
      <c r="V201" s="9" t="s">
        <v>58</v>
      </c>
      <c r="W201" s="6" t="s">
        <v>59</v>
      </c>
    </row>
    <row r="202" customFormat="false" ht="48" hidden="false" customHeight="true" outlineLevel="0" collapsed="false">
      <c r="A202" s="4" t="n">
        <v>301</v>
      </c>
      <c r="B202" s="4" t="s">
        <v>1333</v>
      </c>
      <c r="C202" s="5" t="s">
        <v>1334</v>
      </c>
      <c r="D202" s="6"/>
      <c r="E202" s="6"/>
      <c r="F202" s="6" t="s">
        <v>1335</v>
      </c>
      <c r="G202" s="6" t="s">
        <v>26</v>
      </c>
      <c r="H202" s="7" t="s">
        <v>1122</v>
      </c>
      <c r="I202" s="7" t="s">
        <v>142</v>
      </c>
      <c r="J202" s="6" t="s">
        <v>1336</v>
      </c>
      <c r="K202" s="6" t="s">
        <v>52</v>
      </c>
      <c r="L202" s="6"/>
      <c r="M202" s="6" t="s">
        <v>1337</v>
      </c>
      <c r="N202" s="6" t="s">
        <v>1338</v>
      </c>
      <c r="O202" s="6" t="s">
        <v>1339</v>
      </c>
      <c r="P202" s="6" t="s">
        <v>132</v>
      </c>
      <c r="Q202" s="8" t="n">
        <v>0.257</v>
      </c>
      <c r="R202" s="6"/>
      <c r="S202" s="6" t="s">
        <v>46</v>
      </c>
      <c r="T202" s="6" t="s">
        <v>311</v>
      </c>
      <c r="U202" s="8" t="n">
        <v>0.269</v>
      </c>
      <c r="V202" s="6" t="s">
        <v>37</v>
      </c>
      <c r="W202" s="6" t="s">
        <v>38</v>
      </c>
    </row>
    <row r="203" customFormat="false" ht="48" hidden="false" customHeight="true" outlineLevel="0" collapsed="false">
      <c r="A203" s="4" t="n">
        <v>302</v>
      </c>
      <c r="B203" s="4" t="s">
        <v>1340</v>
      </c>
      <c r="C203" s="5" t="s">
        <v>1341</v>
      </c>
      <c r="D203" s="6"/>
      <c r="E203" s="6"/>
      <c r="F203" s="6" t="s">
        <v>1342</v>
      </c>
      <c r="G203" s="6" t="s">
        <v>26</v>
      </c>
      <c r="H203" s="7" t="s">
        <v>1122</v>
      </c>
      <c r="I203" s="7" t="s">
        <v>142</v>
      </c>
      <c r="J203" s="6" t="s">
        <v>1343</v>
      </c>
      <c r="K203" s="6" t="s">
        <v>52</v>
      </c>
      <c r="L203" s="6"/>
      <c r="M203" s="6" t="s">
        <v>1344</v>
      </c>
      <c r="N203" s="6" t="s">
        <v>1338</v>
      </c>
      <c r="O203" s="6" t="s">
        <v>1339</v>
      </c>
      <c r="P203" s="6" t="s">
        <v>310</v>
      </c>
      <c r="Q203" s="8" t="n">
        <v>0.417</v>
      </c>
      <c r="R203" s="6"/>
      <c r="S203" s="6" t="s">
        <v>46</v>
      </c>
      <c r="T203" s="6" t="s">
        <v>311</v>
      </c>
      <c r="U203" s="8" t="n">
        <v>0.273</v>
      </c>
      <c r="V203" s="6" t="s">
        <v>37</v>
      </c>
      <c r="W203" s="6" t="s">
        <v>38</v>
      </c>
    </row>
    <row r="204" customFormat="false" ht="48" hidden="false" customHeight="true" outlineLevel="0" collapsed="false">
      <c r="A204" s="4" t="n">
        <v>303</v>
      </c>
      <c r="B204" s="4" t="s">
        <v>1345</v>
      </c>
      <c r="C204" s="6" t="s">
        <v>1346</v>
      </c>
      <c r="D204" s="6"/>
      <c r="E204" s="6"/>
      <c r="F204" s="6" t="s">
        <v>1347</v>
      </c>
      <c r="G204" s="6" t="s">
        <v>26</v>
      </c>
      <c r="H204" s="7" t="s">
        <v>1122</v>
      </c>
      <c r="I204" s="7" t="s">
        <v>267</v>
      </c>
      <c r="J204" s="6" t="s">
        <v>1348</v>
      </c>
      <c r="K204" s="6" t="s">
        <v>30</v>
      </c>
      <c r="L204" s="6"/>
      <c r="M204" s="6" t="s">
        <v>1349</v>
      </c>
      <c r="N204" s="6" t="s">
        <v>1350</v>
      </c>
      <c r="O204" s="6" t="s">
        <v>1206</v>
      </c>
      <c r="P204" s="6" t="s">
        <v>344</v>
      </c>
      <c r="Q204" s="8" t="n">
        <v>0.608</v>
      </c>
      <c r="R204" s="6"/>
      <c r="S204" s="6" t="s">
        <v>35</v>
      </c>
      <c r="T204" s="6" t="s">
        <v>1198</v>
      </c>
      <c r="U204" s="8" t="n">
        <v>0.222</v>
      </c>
      <c r="V204" s="10" t="s">
        <v>78</v>
      </c>
      <c r="W204" s="6" t="s">
        <v>1351</v>
      </c>
    </row>
    <row r="205" customFormat="false" ht="48" hidden="false" customHeight="true" outlineLevel="0" collapsed="false">
      <c r="A205" s="4" t="n">
        <v>304</v>
      </c>
      <c r="B205" s="4" t="s">
        <v>1352</v>
      </c>
      <c r="C205" s="6" t="s">
        <v>1353</v>
      </c>
      <c r="D205" s="6"/>
      <c r="E205" s="6"/>
      <c r="F205" s="6" t="s">
        <v>1354</v>
      </c>
      <c r="G205" s="6" t="s">
        <v>26</v>
      </c>
      <c r="H205" s="7" t="s">
        <v>1122</v>
      </c>
      <c r="I205" s="7" t="s">
        <v>267</v>
      </c>
      <c r="J205" s="6" t="s">
        <v>1355</v>
      </c>
      <c r="K205" s="6" t="s">
        <v>30</v>
      </c>
      <c r="L205" s="6"/>
      <c r="M205" s="6" t="s">
        <v>1356</v>
      </c>
      <c r="N205" s="6" t="s">
        <v>1350</v>
      </c>
      <c r="O205" s="6" t="s">
        <v>1206</v>
      </c>
      <c r="P205" s="6" t="s">
        <v>331</v>
      </c>
      <c r="Q205" s="8" t="n">
        <v>0.415</v>
      </c>
      <c r="R205" s="6"/>
      <c r="S205" s="6" t="s">
        <v>35</v>
      </c>
      <c r="T205" s="6" t="s">
        <v>231</v>
      </c>
      <c r="U205" s="8" t="n">
        <v>0.159</v>
      </c>
      <c r="V205" s="6" t="s">
        <v>37</v>
      </c>
      <c r="W205" s="6" t="s">
        <v>38</v>
      </c>
    </row>
    <row r="206" customFormat="false" ht="48" hidden="false" customHeight="true" outlineLevel="0" collapsed="false">
      <c r="A206" s="4" t="n">
        <v>305</v>
      </c>
      <c r="B206" s="4" t="s">
        <v>1357</v>
      </c>
      <c r="C206" s="11" t="s">
        <v>1358</v>
      </c>
      <c r="D206" s="6"/>
      <c r="E206" s="6"/>
      <c r="F206" s="6" t="s">
        <v>1359</v>
      </c>
      <c r="G206" s="6" t="s">
        <v>26</v>
      </c>
      <c r="H206" s="7" t="s">
        <v>1122</v>
      </c>
      <c r="I206" s="7" t="s">
        <v>267</v>
      </c>
      <c r="J206" s="6" t="s">
        <v>1360</v>
      </c>
      <c r="K206" s="6" t="s">
        <v>30</v>
      </c>
      <c r="L206" s="5" t="s">
        <v>1361</v>
      </c>
      <c r="M206" s="6" t="s">
        <v>1362</v>
      </c>
      <c r="N206" s="6" t="s">
        <v>1363</v>
      </c>
      <c r="O206" s="6" t="s">
        <v>1364</v>
      </c>
      <c r="P206" s="6" t="s">
        <v>1365</v>
      </c>
      <c r="Q206" s="8" t="n">
        <v>0.309</v>
      </c>
      <c r="R206" s="6"/>
      <c r="S206" s="6" t="s">
        <v>46</v>
      </c>
      <c r="T206" s="6" t="s">
        <v>1180</v>
      </c>
      <c r="U206" s="8" t="n">
        <v>0.151</v>
      </c>
      <c r="V206" s="9" t="s">
        <v>58</v>
      </c>
      <c r="W206" s="6" t="s">
        <v>59</v>
      </c>
    </row>
    <row r="207" customFormat="false" ht="48" hidden="false" customHeight="true" outlineLevel="0" collapsed="false">
      <c r="A207" s="4" t="n">
        <v>306</v>
      </c>
      <c r="B207" s="4" t="s">
        <v>1366</v>
      </c>
      <c r="C207" s="11" t="s">
        <v>1367</v>
      </c>
      <c r="D207" s="6"/>
      <c r="E207" s="6"/>
      <c r="F207" s="6" t="s">
        <v>1368</v>
      </c>
      <c r="G207" s="6" t="s">
        <v>26</v>
      </c>
      <c r="H207" s="7" t="s">
        <v>1122</v>
      </c>
      <c r="I207" s="7" t="s">
        <v>267</v>
      </c>
      <c r="J207" s="6" t="s">
        <v>1369</v>
      </c>
      <c r="K207" s="6" t="s">
        <v>30</v>
      </c>
      <c r="L207" s="5" t="s">
        <v>1361</v>
      </c>
      <c r="M207" s="6" t="s">
        <v>1370</v>
      </c>
      <c r="N207" s="6" t="s">
        <v>1371</v>
      </c>
      <c r="O207" s="6" t="s">
        <v>1372</v>
      </c>
      <c r="P207" s="6" t="s">
        <v>156</v>
      </c>
      <c r="Q207" s="8" t="n">
        <v>0.258</v>
      </c>
      <c r="R207" s="6"/>
      <c r="S207" s="6" t="s">
        <v>46</v>
      </c>
      <c r="T207" s="6" t="s">
        <v>1373</v>
      </c>
      <c r="U207" s="8" t="n">
        <v>0.164</v>
      </c>
      <c r="V207" s="6" t="s">
        <v>37</v>
      </c>
      <c r="W207" s="6" t="s">
        <v>38</v>
      </c>
    </row>
    <row r="208" customFormat="false" ht="48" hidden="false" customHeight="true" outlineLevel="0" collapsed="false">
      <c r="A208" s="4" t="n">
        <v>307</v>
      </c>
      <c r="B208" s="4" t="s">
        <v>1374</v>
      </c>
      <c r="C208" s="5" t="s">
        <v>1375</v>
      </c>
      <c r="D208" s="6"/>
      <c r="E208" s="6"/>
      <c r="F208" s="6" t="s">
        <v>1376</v>
      </c>
      <c r="G208" s="6" t="s">
        <v>26</v>
      </c>
      <c r="H208" s="7" t="s">
        <v>1122</v>
      </c>
      <c r="I208" s="7" t="s">
        <v>267</v>
      </c>
      <c r="J208" s="6" t="s">
        <v>1377</v>
      </c>
      <c r="K208" s="6" t="s">
        <v>30</v>
      </c>
      <c r="L208" s="6"/>
      <c r="M208" s="6" t="s">
        <v>1378</v>
      </c>
      <c r="N208" s="6" t="s">
        <v>1379</v>
      </c>
      <c r="O208" s="6" t="s">
        <v>1206</v>
      </c>
      <c r="P208" s="6" t="s">
        <v>1256</v>
      </c>
      <c r="Q208" s="8" t="n">
        <v>0.426</v>
      </c>
      <c r="R208" s="6"/>
      <c r="S208" s="6" t="s">
        <v>46</v>
      </c>
      <c r="T208" s="6" t="s">
        <v>1198</v>
      </c>
      <c r="U208" s="8" t="n">
        <v>0.2</v>
      </c>
      <c r="V208" s="6" t="s">
        <v>37</v>
      </c>
      <c r="W208" s="6" t="s">
        <v>38</v>
      </c>
    </row>
    <row r="209" customFormat="false" ht="48" hidden="false" customHeight="true" outlineLevel="0" collapsed="false">
      <c r="A209" s="4" t="n">
        <v>308</v>
      </c>
      <c r="B209" s="4" t="s">
        <v>1380</v>
      </c>
      <c r="C209" s="5" t="s">
        <v>1381</v>
      </c>
      <c r="D209" s="6"/>
      <c r="E209" s="6"/>
      <c r="F209" s="6" t="s">
        <v>1382</v>
      </c>
      <c r="G209" s="6" t="s">
        <v>26</v>
      </c>
      <c r="H209" s="7" t="s">
        <v>1122</v>
      </c>
      <c r="I209" s="7" t="s">
        <v>267</v>
      </c>
      <c r="J209" s="6" t="s">
        <v>1383</v>
      </c>
      <c r="K209" s="6" t="s">
        <v>30</v>
      </c>
      <c r="L209" s="6"/>
      <c r="M209" s="6" t="s">
        <v>1384</v>
      </c>
      <c r="N209" s="6" t="s">
        <v>1379</v>
      </c>
      <c r="O209" s="6" t="s">
        <v>1206</v>
      </c>
      <c r="P209" s="6" t="s">
        <v>344</v>
      </c>
      <c r="Q209" s="8" t="n">
        <v>0.397</v>
      </c>
      <c r="R209" s="6"/>
      <c r="S209" s="6" t="s">
        <v>46</v>
      </c>
      <c r="T209" s="6" t="s">
        <v>1198</v>
      </c>
      <c r="U209" s="8" t="n">
        <v>0.14</v>
      </c>
      <c r="V209" s="6" t="s">
        <v>37</v>
      </c>
      <c r="W209" s="6" t="s">
        <v>38</v>
      </c>
    </row>
    <row r="210" customFormat="false" ht="48" hidden="false" customHeight="true" outlineLevel="0" collapsed="false">
      <c r="A210" s="4" t="n">
        <v>309</v>
      </c>
      <c r="B210" s="4" t="s">
        <v>1385</v>
      </c>
      <c r="C210" s="6" t="s">
        <v>1386</v>
      </c>
      <c r="D210" s="6"/>
      <c r="E210" s="6"/>
      <c r="F210" s="6" t="s">
        <v>1387</v>
      </c>
      <c r="G210" s="6" t="s">
        <v>26</v>
      </c>
      <c r="H210" s="7" t="s">
        <v>1122</v>
      </c>
      <c r="I210" s="7" t="s">
        <v>267</v>
      </c>
      <c r="J210" s="6" t="s">
        <v>1388</v>
      </c>
      <c r="K210" s="6" t="s">
        <v>52</v>
      </c>
      <c r="L210" s="6"/>
      <c r="M210" s="6" t="s">
        <v>1389</v>
      </c>
      <c r="N210" s="6" t="s">
        <v>1338</v>
      </c>
      <c r="O210" s="6" t="s">
        <v>1339</v>
      </c>
      <c r="P210" s="6" t="s">
        <v>310</v>
      </c>
      <c r="Q210" s="8" t="n">
        <v>0.223</v>
      </c>
      <c r="R210" s="6"/>
      <c r="S210" s="6" t="s">
        <v>46</v>
      </c>
      <c r="T210" s="6" t="s">
        <v>311</v>
      </c>
      <c r="U210" s="8" t="n">
        <v>0.228</v>
      </c>
      <c r="V210" s="6" t="s">
        <v>37</v>
      </c>
      <c r="W210" s="6" t="s">
        <v>38</v>
      </c>
    </row>
    <row r="211" customFormat="false" ht="48" hidden="false" customHeight="true" outlineLevel="0" collapsed="false">
      <c r="A211" s="4" t="n">
        <v>310</v>
      </c>
      <c r="B211" s="4" t="s">
        <v>1390</v>
      </c>
      <c r="C211" s="6" t="s">
        <v>1391</v>
      </c>
      <c r="D211" s="6"/>
      <c r="E211" s="6"/>
      <c r="F211" s="6" t="s">
        <v>1392</v>
      </c>
      <c r="G211" s="6" t="s">
        <v>26</v>
      </c>
      <c r="H211" s="7" t="s">
        <v>1122</v>
      </c>
      <c r="I211" s="7" t="s">
        <v>267</v>
      </c>
      <c r="J211" s="6" t="s">
        <v>1393</v>
      </c>
      <c r="K211" s="6" t="s">
        <v>52</v>
      </c>
      <c r="L211" s="6"/>
      <c r="M211" s="6" t="s">
        <v>1394</v>
      </c>
      <c r="N211" s="6" t="s">
        <v>1338</v>
      </c>
      <c r="O211" s="6" t="s">
        <v>1339</v>
      </c>
      <c r="P211" s="6" t="s">
        <v>310</v>
      </c>
      <c r="Q211" s="8" t="n">
        <v>0.337</v>
      </c>
      <c r="R211" s="6"/>
      <c r="S211" s="6" t="s">
        <v>46</v>
      </c>
      <c r="T211" s="6" t="s">
        <v>311</v>
      </c>
      <c r="U211" s="8" t="n">
        <v>0.228</v>
      </c>
      <c r="V211" s="6" t="s">
        <v>37</v>
      </c>
      <c r="W211" s="6" t="s">
        <v>38</v>
      </c>
    </row>
    <row r="212" customFormat="false" ht="48" hidden="false" customHeight="true" outlineLevel="0" collapsed="false">
      <c r="A212" s="4" t="n">
        <v>311</v>
      </c>
      <c r="B212" s="4" t="s">
        <v>1395</v>
      </c>
      <c r="C212" s="5" t="s">
        <v>1396</v>
      </c>
      <c r="D212" s="6"/>
      <c r="E212" s="6"/>
      <c r="F212" s="6" t="s">
        <v>1397</v>
      </c>
      <c r="G212" s="6" t="s">
        <v>26</v>
      </c>
      <c r="H212" s="7" t="s">
        <v>1122</v>
      </c>
      <c r="I212" s="7" t="s">
        <v>267</v>
      </c>
      <c r="J212" s="6" t="s">
        <v>1398</v>
      </c>
      <c r="K212" s="6" t="s">
        <v>30</v>
      </c>
      <c r="L212" s="6"/>
      <c r="M212" s="6" t="s">
        <v>1399</v>
      </c>
      <c r="N212" s="6" t="s">
        <v>1400</v>
      </c>
      <c r="O212" s="6" t="s">
        <v>1206</v>
      </c>
      <c r="P212" s="6" t="s">
        <v>422</v>
      </c>
      <c r="Q212" s="8" t="n">
        <v>0.308</v>
      </c>
      <c r="R212" s="6"/>
      <c r="S212" s="6" t="s">
        <v>46</v>
      </c>
      <c r="T212" s="6" t="s">
        <v>806</v>
      </c>
      <c r="U212" s="8" t="n">
        <v>0.22</v>
      </c>
      <c r="V212" s="9" t="s">
        <v>58</v>
      </c>
      <c r="W212" s="6" t="s">
        <v>59</v>
      </c>
    </row>
    <row r="213" customFormat="false" ht="48" hidden="false" customHeight="true" outlineLevel="0" collapsed="false">
      <c r="A213" s="4" t="n">
        <v>312</v>
      </c>
      <c r="B213" s="4" t="s">
        <v>1401</v>
      </c>
      <c r="C213" s="5" t="s">
        <v>1402</v>
      </c>
      <c r="D213" s="6"/>
      <c r="E213" s="6"/>
      <c r="F213" s="6" t="s">
        <v>1403</v>
      </c>
      <c r="G213" s="6" t="s">
        <v>26</v>
      </c>
      <c r="H213" s="7" t="s">
        <v>1122</v>
      </c>
      <c r="I213" s="7" t="s">
        <v>267</v>
      </c>
      <c r="J213" s="6" t="s">
        <v>1404</v>
      </c>
      <c r="K213" s="6" t="s">
        <v>30</v>
      </c>
      <c r="L213" s="6"/>
      <c r="M213" s="6" t="s">
        <v>1405</v>
      </c>
      <c r="N213" s="6" t="s">
        <v>1400</v>
      </c>
      <c r="O213" s="6" t="s">
        <v>1206</v>
      </c>
      <c r="P213" s="6" t="s">
        <v>1406</v>
      </c>
      <c r="Q213" s="8" t="n">
        <v>0.31</v>
      </c>
      <c r="R213" s="6"/>
      <c r="S213" s="6" t="s">
        <v>46</v>
      </c>
      <c r="T213" s="6" t="s">
        <v>231</v>
      </c>
      <c r="U213" s="8" t="n">
        <v>0.154</v>
      </c>
      <c r="V213" s="9" t="s">
        <v>58</v>
      </c>
      <c r="W213" s="6" t="s">
        <v>59</v>
      </c>
    </row>
    <row r="214" customFormat="false" ht="48" hidden="false" customHeight="true" outlineLevel="0" collapsed="false">
      <c r="A214" s="4" t="n">
        <v>313</v>
      </c>
      <c r="B214" s="4" t="s">
        <v>1407</v>
      </c>
      <c r="C214" s="5" t="s">
        <v>1408</v>
      </c>
      <c r="D214" s="6"/>
      <c r="E214" s="6"/>
      <c r="F214" s="6" t="s">
        <v>1409</v>
      </c>
      <c r="G214" s="6" t="s">
        <v>26</v>
      </c>
      <c r="H214" s="7" t="s">
        <v>1122</v>
      </c>
      <c r="I214" s="7" t="s">
        <v>267</v>
      </c>
      <c r="J214" s="6" t="s">
        <v>1410</v>
      </c>
      <c r="K214" s="6" t="s">
        <v>30</v>
      </c>
      <c r="L214" s="6"/>
      <c r="M214" s="6" t="s">
        <v>1411</v>
      </c>
      <c r="N214" s="6" t="s">
        <v>1412</v>
      </c>
      <c r="O214" s="6" t="s">
        <v>1206</v>
      </c>
      <c r="P214" s="6" t="s">
        <v>156</v>
      </c>
      <c r="Q214" s="8" t="n">
        <v>0.214</v>
      </c>
      <c r="R214" s="6"/>
      <c r="S214" s="6" t="s">
        <v>46</v>
      </c>
      <c r="T214" s="6" t="s">
        <v>157</v>
      </c>
      <c r="U214" s="8" t="n">
        <v>0.17</v>
      </c>
      <c r="V214" s="6" t="s">
        <v>37</v>
      </c>
      <c r="W214" s="6" t="s">
        <v>38</v>
      </c>
    </row>
    <row r="215" customFormat="false" ht="48" hidden="false" customHeight="true" outlineLevel="0" collapsed="false">
      <c r="A215" s="4" t="n">
        <v>314</v>
      </c>
      <c r="B215" s="4" t="s">
        <v>1413</v>
      </c>
      <c r="C215" s="5" t="s">
        <v>1414</v>
      </c>
      <c r="D215" s="6"/>
      <c r="E215" s="6"/>
      <c r="F215" s="6" t="s">
        <v>1415</v>
      </c>
      <c r="G215" s="6" t="s">
        <v>26</v>
      </c>
      <c r="H215" s="7" t="s">
        <v>1122</v>
      </c>
      <c r="I215" s="7" t="s">
        <v>267</v>
      </c>
      <c r="J215" s="6" t="s">
        <v>1416</v>
      </c>
      <c r="K215" s="6" t="s">
        <v>52</v>
      </c>
      <c r="L215" s="6"/>
      <c r="M215" s="6" t="s">
        <v>1417</v>
      </c>
      <c r="N215" s="6" t="s">
        <v>1338</v>
      </c>
      <c r="O215" s="6" t="s">
        <v>1339</v>
      </c>
      <c r="P215" s="6" t="s">
        <v>1154</v>
      </c>
      <c r="Q215" s="8" t="n">
        <v>0.333</v>
      </c>
      <c r="R215" s="6"/>
      <c r="S215" s="6" t="s">
        <v>46</v>
      </c>
      <c r="T215" s="6" t="s">
        <v>1164</v>
      </c>
      <c r="U215" s="8" t="n">
        <v>0.318</v>
      </c>
      <c r="V215" s="6" t="s">
        <v>37</v>
      </c>
      <c r="W215" s="6" t="s">
        <v>38</v>
      </c>
    </row>
    <row r="216" customFormat="false" ht="48" hidden="false" customHeight="true" outlineLevel="0" collapsed="false">
      <c r="A216" s="4" t="n">
        <v>315</v>
      </c>
      <c r="B216" s="4" t="s">
        <v>1418</v>
      </c>
      <c r="C216" s="6" t="s">
        <v>1419</v>
      </c>
      <c r="D216" s="6"/>
      <c r="E216" s="6"/>
      <c r="F216" s="6" t="s">
        <v>1420</v>
      </c>
      <c r="G216" s="6" t="s">
        <v>26</v>
      </c>
      <c r="H216" s="7" t="s">
        <v>1122</v>
      </c>
      <c r="I216" s="7" t="s">
        <v>267</v>
      </c>
      <c r="J216" s="6" t="s">
        <v>1421</v>
      </c>
      <c r="K216" s="6" t="s">
        <v>658</v>
      </c>
      <c r="L216" s="6"/>
      <c r="M216" s="6" t="s">
        <v>1422</v>
      </c>
      <c r="N216" s="6" t="s">
        <v>1423</v>
      </c>
      <c r="O216" s="6" t="s">
        <v>1195</v>
      </c>
      <c r="P216" s="6" t="s">
        <v>471</v>
      </c>
      <c r="Q216" s="8" t="n">
        <v>0.246</v>
      </c>
      <c r="R216" s="6"/>
      <c r="S216" s="6" t="s">
        <v>46</v>
      </c>
      <c r="T216" s="6" t="s">
        <v>231</v>
      </c>
      <c r="U216" s="8" t="n">
        <v>0.173</v>
      </c>
      <c r="V216" s="9" t="s">
        <v>58</v>
      </c>
      <c r="W216" s="6" t="s">
        <v>59</v>
      </c>
    </row>
    <row r="217" customFormat="false" ht="48" hidden="false" customHeight="true" outlineLevel="0" collapsed="false">
      <c r="A217" s="4" t="n">
        <v>316</v>
      </c>
      <c r="B217" s="4" t="s">
        <v>1424</v>
      </c>
      <c r="C217" s="5" t="s">
        <v>1425</v>
      </c>
      <c r="D217" s="6"/>
      <c r="E217" s="6"/>
      <c r="F217" s="6" t="s">
        <v>1426</v>
      </c>
      <c r="G217" s="6" t="s">
        <v>26</v>
      </c>
      <c r="H217" s="7" t="s">
        <v>1427</v>
      </c>
      <c r="I217" s="7" t="s">
        <v>28</v>
      </c>
      <c r="J217" s="6" t="s">
        <v>1428</v>
      </c>
      <c r="K217" s="6" t="s">
        <v>30</v>
      </c>
      <c r="L217" s="6"/>
      <c r="M217" s="6" t="s">
        <v>1429</v>
      </c>
      <c r="N217" s="6" t="s">
        <v>1430</v>
      </c>
      <c r="O217" s="6" t="s">
        <v>363</v>
      </c>
      <c r="P217" s="6" t="s">
        <v>1431</v>
      </c>
      <c r="Q217" s="8" t="n">
        <v>0.562</v>
      </c>
      <c r="R217" s="6"/>
      <c r="S217" s="6" t="s">
        <v>46</v>
      </c>
      <c r="T217" s="6" t="s">
        <v>918</v>
      </c>
      <c r="U217" s="8" t="n">
        <v>0.438</v>
      </c>
      <c r="V217" s="10" t="s">
        <v>78</v>
      </c>
      <c r="W217" s="6" t="s">
        <v>1432</v>
      </c>
    </row>
    <row r="218" customFormat="false" ht="48" hidden="false" customHeight="true" outlineLevel="0" collapsed="false">
      <c r="A218" s="4" t="n">
        <v>317</v>
      </c>
      <c r="B218" s="4" t="s">
        <v>1433</v>
      </c>
      <c r="C218" s="5" t="s">
        <v>1434</v>
      </c>
      <c r="D218" s="6"/>
      <c r="E218" s="6"/>
      <c r="F218" s="6" t="s">
        <v>1435</v>
      </c>
      <c r="G218" s="6" t="s">
        <v>26</v>
      </c>
      <c r="H218" s="7" t="s">
        <v>1427</v>
      </c>
      <c r="I218" s="7" t="s">
        <v>28</v>
      </c>
      <c r="J218" s="6" t="s">
        <v>1436</v>
      </c>
      <c r="K218" s="6" t="s">
        <v>30</v>
      </c>
      <c r="L218" s="6"/>
      <c r="M218" s="6" t="s">
        <v>1437</v>
      </c>
      <c r="N218" s="6" t="s">
        <v>1438</v>
      </c>
      <c r="O218" s="6" t="s">
        <v>363</v>
      </c>
      <c r="P218" s="6" t="s">
        <v>633</v>
      </c>
      <c r="Q218" s="8" t="n">
        <v>0.273</v>
      </c>
      <c r="R218" s="6"/>
      <c r="S218" s="6" t="s">
        <v>46</v>
      </c>
      <c r="T218" s="6" t="s">
        <v>634</v>
      </c>
      <c r="U218" s="8" t="n">
        <v>0.318</v>
      </c>
      <c r="V218" s="6" t="s">
        <v>37</v>
      </c>
      <c r="W218" s="6" t="s">
        <v>38</v>
      </c>
    </row>
    <row r="219" customFormat="false" ht="48" hidden="false" customHeight="true" outlineLevel="0" collapsed="false">
      <c r="A219" s="4" t="n">
        <v>318</v>
      </c>
      <c r="B219" s="4" t="s">
        <v>1439</v>
      </c>
      <c r="C219" s="5" t="s">
        <v>1440</v>
      </c>
      <c r="D219" s="6"/>
      <c r="E219" s="6"/>
      <c r="F219" s="6" t="s">
        <v>1441</v>
      </c>
      <c r="G219" s="6" t="s">
        <v>26</v>
      </c>
      <c r="H219" s="7" t="s">
        <v>1427</v>
      </c>
      <c r="I219" s="7" t="s">
        <v>28</v>
      </c>
      <c r="J219" s="6" t="s">
        <v>1442</v>
      </c>
      <c r="K219" s="6" t="s">
        <v>30</v>
      </c>
      <c r="L219" s="6"/>
      <c r="M219" s="6" t="s">
        <v>1443</v>
      </c>
      <c r="N219" s="6" t="s">
        <v>1430</v>
      </c>
      <c r="O219" s="6" t="s">
        <v>363</v>
      </c>
      <c r="P219" s="6" t="s">
        <v>1444</v>
      </c>
      <c r="Q219" s="8" t="n">
        <v>0.258</v>
      </c>
      <c r="R219" s="6"/>
      <c r="S219" s="6" t="s">
        <v>46</v>
      </c>
      <c r="T219" s="6" t="s">
        <v>1327</v>
      </c>
      <c r="U219" s="8" t="n">
        <v>0.171</v>
      </c>
      <c r="V219" s="9" t="s">
        <v>58</v>
      </c>
      <c r="W219" s="6" t="s">
        <v>59</v>
      </c>
    </row>
    <row r="220" customFormat="false" ht="48" hidden="false" customHeight="true" outlineLevel="0" collapsed="false">
      <c r="A220" s="4" t="n">
        <v>319</v>
      </c>
      <c r="B220" s="4" t="s">
        <v>1445</v>
      </c>
      <c r="C220" s="5" t="s">
        <v>1446</v>
      </c>
      <c r="D220" s="6"/>
      <c r="E220" s="6"/>
      <c r="F220" s="6" t="s">
        <v>1447</v>
      </c>
      <c r="G220" s="6" t="s">
        <v>26</v>
      </c>
      <c r="H220" s="7" t="s">
        <v>1427</v>
      </c>
      <c r="I220" s="7" t="s">
        <v>28</v>
      </c>
      <c r="J220" s="6" t="s">
        <v>1448</v>
      </c>
      <c r="K220" s="6" t="s">
        <v>30</v>
      </c>
      <c r="L220" s="6"/>
      <c r="M220" s="6" t="s">
        <v>1449</v>
      </c>
      <c r="N220" s="6" t="s">
        <v>1438</v>
      </c>
      <c r="O220" s="6" t="s">
        <v>363</v>
      </c>
      <c r="P220" s="6" t="s">
        <v>1450</v>
      </c>
      <c r="Q220" s="8" t="n">
        <v>0.348</v>
      </c>
      <c r="R220" s="6"/>
      <c r="S220" s="6" t="s">
        <v>46</v>
      </c>
      <c r="T220" s="6" t="s">
        <v>832</v>
      </c>
      <c r="U220" s="8" t="n">
        <v>0.259</v>
      </c>
      <c r="V220" s="6" t="s">
        <v>37</v>
      </c>
      <c r="W220" s="6" t="s">
        <v>38</v>
      </c>
    </row>
    <row r="221" customFormat="false" ht="48" hidden="false" customHeight="true" outlineLevel="0" collapsed="false">
      <c r="A221" s="4" t="n">
        <v>320</v>
      </c>
      <c r="B221" s="4" t="s">
        <v>1451</v>
      </c>
      <c r="C221" s="5" t="s">
        <v>1452</v>
      </c>
      <c r="D221" s="6"/>
      <c r="E221" s="6"/>
      <c r="F221" s="6" t="s">
        <v>1453</v>
      </c>
      <c r="G221" s="6" t="s">
        <v>26</v>
      </c>
      <c r="H221" s="7" t="s">
        <v>1427</v>
      </c>
      <c r="I221" s="7" t="s">
        <v>28</v>
      </c>
      <c r="J221" s="6" t="s">
        <v>1454</v>
      </c>
      <c r="K221" s="6" t="s">
        <v>30</v>
      </c>
      <c r="L221" s="6"/>
      <c r="M221" s="6" t="s">
        <v>1455</v>
      </c>
      <c r="N221" s="6" t="s">
        <v>1456</v>
      </c>
      <c r="O221" s="6" t="s">
        <v>363</v>
      </c>
      <c r="P221" s="6" t="s">
        <v>951</v>
      </c>
      <c r="Q221" s="8" t="n">
        <v>0.231</v>
      </c>
      <c r="R221" s="6"/>
      <c r="S221" s="6" t="s">
        <v>46</v>
      </c>
      <c r="T221" s="6" t="s">
        <v>1457</v>
      </c>
      <c r="U221" s="8" t="n">
        <v>0.25</v>
      </c>
      <c r="V221" s="6" t="s">
        <v>37</v>
      </c>
      <c r="W221" s="6" t="s">
        <v>38</v>
      </c>
    </row>
    <row r="222" customFormat="false" ht="48" hidden="false" customHeight="true" outlineLevel="0" collapsed="false">
      <c r="A222" s="4" t="n">
        <v>321</v>
      </c>
      <c r="B222" s="4" t="s">
        <v>1458</v>
      </c>
      <c r="C222" s="6" t="s">
        <v>1459</v>
      </c>
      <c r="D222" s="6"/>
      <c r="E222" s="6"/>
      <c r="F222" s="6" t="s">
        <v>1460</v>
      </c>
      <c r="G222" s="6" t="s">
        <v>26</v>
      </c>
      <c r="H222" s="7" t="s">
        <v>1427</v>
      </c>
      <c r="I222" s="7" t="s">
        <v>28</v>
      </c>
      <c r="J222" s="6" t="s">
        <v>1461</v>
      </c>
      <c r="K222" s="6" t="s">
        <v>52</v>
      </c>
      <c r="L222" s="6"/>
      <c r="M222" s="6" t="s">
        <v>1462</v>
      </c>
      <c r="N222" s="6" t="s">
        <v>1463</v>
      </c>
      <c r="O222" s="6" t="s">
        <v>380</v>
      </c>
      <c r="P222" s="6" t="s">
        <v>132</v>
      </c>
      <c r="Q222" s="8" t="n">
        <v>0.409</v>
      </c>
      <c r="R222" s="6"/>
      <c r="S222" s="6" t="s">
        <v>46</v>
      </c>
      <c r="T222" s="6" t="s">
        <v>101</v>
      </c>
      <c r="U222" s="8" t="n">
        <v>0.375</v>
      </c>
      <c r="V222" s="6" t="s">
        <v>37</v>
      </c>
      <c r="W222" s="6" t="s">
        <v>38</v>
      </c>
    </row>
    <row r="223" customFormat="false" ht="48" hidden="false" customHeight="true" outlineLevel="0" collapsed="false">
      <c r="A223" s="4" t="n">
        <v>322</v>
      </c>
      <c r="B223" s="4" t="s">
        <v>1464</v>
      </c>
      <c r="C223" s="6" t="s">
        <v>1465</v>
      </c>
      <c r="D223" s="6"/>
      <c r="E223" s="6"/>
      <c r="F223" s="6" t="s">
        <v>1466</v>
      </c>
      <c r="G223" s="6" t="s">
        <v>26</v>
      </c>
      <c r="H223" s="7" t="s">
        <v>1427</v>
      </c>
      <c r="I223" s="7" t="s">
        <v>28</v>
      </c>
      <c r="J223" s="6" t="s">
        <v>1467</v>
      </c>
      <c r="K223" s="6" t="s">
        <v>52</v>
      </c>
      <c r="L223" s="6"/>
      <c r="M223" s="6" t="s">
        <v>1468</v>
      </c>
      <c r="N223" s="6" t="s">
        <v>1463</v>
      </c>
      <c r="O223" s="6" t="s">
        <v>380</v>
      </c>
      <c r="P223" s="6" t="s">
        <v>100</v>
      </c>
      <c r="Q223" s="8" t="n">
        <v>0.346</v>
      </c>
      <c r="R223" s="6"/>
      <c r="S223" s="6" t="s">
        <v>46</v>
      </c>
      <c r="T223" s="6" t="s">
        <v>311</v>
      </c>
      <c r="U223" s="8" t="n">
        <v>0.354</v>
      </c>
      <c r="V223" s="6" t="s">
        <v>37</v>
      </c>
      <c r="W223" s="6" t="s">
        <v>38</v>
      </c>
    </row>
    <row r="224" customFormat="false" ht="48" hidden="false" customHeight="true" outlineLevel="0" collapsed="false">
      <c r="A224" s="4" t="n">
        <v>323</v>
      </c>
      <c r="B224" s="4" t="s">
        <v>1469</v>
      </c>
      <c r="C224" s="5" t="s">
        <v>1470</v>
      </c>
      <c r="D224" s="6"/>
      <c r="E224" s="6"/>
      <c r="F224" s="6" t="s">
        <v>1471</v>
      </c>
      <c r="G224" s="6" t="s">
        <v>26</v>
      </c>
      <c r="H224" s="7" t="s">
        <v>1427</v>
      </c>
      <c r="I224" s="7" t="s">
        <v>28</v>
      </c>
      <c r="J224" s="6" t="s">
        <v>1472</v>
      </c>
      <c r="K224" s="6" t="s">
        <v>658</v>
      </c>
      <c r="L224" s="6"/>
      <c r="M224" s="6" t="s">
        <v>1473</v>
      </c>
      <c r="N224" s="6" t="s">
        <v>1474</v>
      </c>
      <c r="O224" s="6" t="s">
        <v>661</v>
      </c>
      <c r="P224" s="6" t="s">
        <v>1450</v>
      </c>
      <c r="Q224" s="8" t="n">
        <v>0.35</v>
      </c>
      <c r="R224" s="6"/>
      <c r="S224" s="6" t="s">
        <v>46</v>
      </c>
      <c r="T224" s="6" t="s">
        <v>663</v>
      </c>
      <c r="U224" s="8" t="n">
        <v>0.185</v>
      </c>
      <c r="V224" s="6" t="s">
        <v>37</v>
      </c>
      <c r="W224" s="6" t="s">
        <v>38</v>
      </c>
    </row>
    <row r="225" customFormat="false" ht="48" hidden="false" customHeight="true" outlineLevel="0" collapsed="false">
      <c r="A225" s="4" t="n">
        <v>324</v>
      </c>
      <c r="B225" s="4" t="s">
        <v>1475</v>
      </c>
      <c r="C225" s="5" t="s">
        <v>1476</v>
      </c>
      <c r="D225" s="6"/>
      <c r="E225" s="6"/>
      <c r="F225" s="6" t="s">
        <v>1477</v>
      </c>
      <c r="G225" s="6" t="s">
        <v>26</v>
      </c>
      <c r="H225" s="7" t="s">
        <v>1427</v>
      </c>
      <c r="I225" s="7" t="s">
        <v>28</v>
      </c>
      <c r="J225" s="6" t="s">
        <v>1478</v>
      </c>
      <c r="K225" s="6" t="s">
        <v>658</v>
      </c>
      <c r="L225" s="6"/>
      <c r="M225" s="6" t="s">
        <v>1479</v>
      </c>
      <c r="N225" s="6" t="s">
        <v>1474</v>
      </c>
      <c r="O225" s="6" t="s">
        <v>661</v>
      </c>
      <c r="P225" s="6" t="s">
        <v>1480</v>
      </c>
      <c r="Q225" s="8" t="n">
        <v>0.786</v>
      </c>
      <c r="R225" s="6"/>
      <c r="S225" s="6" t="s">
        <v>46</v>
      </c>
      <c r="T225" s="6" t="s">
        <v>1481</v>
      </c>
      <c r="U225" s="8" t="n">
        <v>0.5</v>
      </c>
      <c r="V225" s="10" t="s">
        <v>625</v>
      </c>
      <c r="W225" s="6" t="s">
        <v>1482</v>
      </c>
    </row>
    <row r="226" customFormat="false" ht="48" hidden="false" customHeight="true" outlineLevel="0" collapsed="false">
      <c r="A226" s="4" t="n">
        <v>325</v>
      </c>
      <c r="B226" s="4" t="s">
        <v>1483</v>
      </c>
      <c r="C226" s="5" t="s">
        <v>1484</v>
      </c>
      <c r="D226" s="6"/>
      <c r="E226" s="6"/>
      <c r="F226" s="6" t="s">
        <v>1485</v>
      </c>
      <c r="G226" s="6" t="s">
        <v>26</v>
      </c>
      <c r="H226" s="7" t="s">
        <v>1427</v>
      </c>
      <c r="I226" s="7" t="s">
        <v>28</v>
      </c>
      <c r="J226" s="6" t="s">
        <v>1486</v>
      </c>
      <c r="K226" s="6" t="s">
        <v>658</v>
      </c>
      <c r="L226" s="6"/>
      <c r="M226" s="6" t="s">
        <v>1487</v>
      </c>
      <c r="N226" s="6" t="s">
        <v>1488</v>
      </c>
      <c r="O226" s="6" t="s">
        <v>1489</v>
      </c>
      <c r="P226" s="6" t="s">
        <v>1490</v>
      </c>
      <c r="Q226" s="8" t="n">
        <v>0.226</v>
      </c>
      <c r="R226" s="6"/>
      <c r="S226" s="6" t="s">
        <v>46</v>
      </c>
      <c r="T226" s="6" t="s">
        <v>1491</v>
      </c>
      <c r="U226" s="8" t="n">
        <v>0.148</v>
      </c>
      <c r="V226" s="6" t="s">
        <v>37</v>
      </c>
      <c r="W226" s="6" t="s">
        <v>38</v>
      </c>
    </row>
    <row r="227" customFormat="false" ht="48" hidden="false" customHeight="true" outlineLevel="0" collapsed="false">
      <c r="A227" s="4" t="n">
        <v>326</v>
      </c>
      <c r="B227" s="4" t="s">
        <v>1492</v>
      </c>
      <c r="C227" s="5" t="s">
        <v>1493</v>
      </c>
      <c r="D227" s="6"/>
      <c r="E227" s="6"/>
      <c r="F227" s="6" t="s">
        <v>1494</v>
      </c>
      <c r="G227" s="6" t="s">
        <v>26</v>
      </c>
      <c r="H227" s="7" t="s">
        <v>1427</v>
      </c>
      <c r="I227" s="7" t="s">
        <v>28</v>
      </c>
      <c r="J227" s="6" t="s">
        <v>1495</v>
      </c>
      <c r="K227" s="6" t="s">
        <v>658</v>
      </c>
      <c r="L227" s="6"/>
      <c r="M227" s="6" t="s">
        <v>1496</v>
      </c>
      <c r="N227" s="6" t="s">
        <v>1488</v>
      </c>
      <c r="O227" s="6" t="s">
        <v>1489</v>
      </c>
      <c r="P227" s="6" t="s">
        <v>1497</v>
      </c>
      <c r="Q227" s="8" t="n">
        <v>0.214</v>
      </c>
      <c r="R227" s="6"/>
      <c r="S227" s="6" t="s">
        <v>46</v>
      </c>
      <c r="T227" s="6" t="s">
        <v>1327</v>
      </c>
      <c r="U227" s="8" t="n">
        <v>0.267</v>
      </c>
      <c r="V227" s="6" t="s">
        <v>37</v>
      </c>
      <c r="W227" s="6" t="s">
        <v>38</v>
      </c>
    </row>
    <row r="228" customFormat="false" ht="48" hidden="false" customHeight="true" outlineLevel="0" collapsed="false">
      <c r="A228" s="4" t="n">
        <v>327</v>
      </c>
      <c r="B228" s="4" t="s">
        <v>1498</v>
      </c>
      <c r="C228" s="5" t="s">
        <v>1499</v>
      </c>
      <c r="D228" s="6"/>
      <c r="E228" s="6"/>
      <c r="F228" s="6" t="s">
        <v>1500</v>
      </c>
      <c r="G228" s="6" t="s">
        <v>26</v>
      </c>
      <c r="H228" s="7" t="s">
        <v>1427</v>
      </c>
      <c r="I228" s="7" t="s">
        <v>28</v>
      </c>
      <c r="J228" s="6" t="s">
        <v>1501</v>
      </c>
      <c r="K228" s="6" t="s">
        <v>30</v>
      </c>
      <c r="L228" s="6"/>
      <c r="M228" s="6" t="s">
        <v>1502</v>
      </c>
      <c r="N228" s="6" t="s">
        <v>1503</v>
      </c>
      <c r="O228" s="6" t="s">
        <v>363</v>
      </c>
      <c r="P228" s="6" t="s">
        <v>1504</v>
      </c>
      <c r="Q228" s="8" t="n">
        <v>0.2</v>
      </c>
      <c r="R228" s="6"/>
      <c r="S228" s="6" t="s">
        <v>46</v>
      </c>
      <c r="T228" s="6" t="s">
        <v>688</v>
      </c>
      <c r="U228" s="8" t="n">
        <v>0.256</v>
      </c>
      <c r="V228" s="6" t="s">
        <v>37</v>
      </c>
      <c r="W228" s="6" t="s">
        <v>38</v>
      </c>
    </row>
    <row r="229" customFormat="false" ht="48" hidden="false" customHeight="true" outlineLevel="0" collapsed="false">
      <c r="A229" s="4" t="n">
        <v>328</v>
      </c>
      <c r="B229" s="4" t="s">
        <v>1505</v>
      </c>
      <c r="C229" s="5" t="s">
        <v>1506</v>
      </c>
      <c r="D229" s="6"/>
      <c r="E229" s="6"/>
      <c r="F229" s="6" t="s">
        <v>1507</v>
      </c>
      <c r="G229" s="6" t="s">
        <v>26</v>
      </c>
      <c r="H229" s="7" t="s">
        <v>1427</v>
      </c>
      <c r="I229" s="7" t="s">
        <v>28</v>
      </c>
      <c r="J229" s="6" t="s">
        <v>1508</v>
      </c>
      <c r="K229" s="6" t="s">
        <v>30</v>
      </c>
      <c r="L229" s="6"/>
      <c r="M229" s="6" t="s">
        <v>1509</v>
      </c>
      <c r="N229" s="6" t="s">
        <v>1503</v>
      </c>
      <c r="O229" s="6" t="s">
        <v>363</v>
      </c>
      <c r="P229" s="6" t="s">
        <v>1480</v>
      </c>
      <c r="Q229" s="8" t="n">
        <v>0.269</v>
      </c>
      <c r="R229" s="6"/>
      <c r="S229" s="6" t="s">
        <v>46</v>
      </c>
      <c r="T229" s="6" t="s">
        <v>1510</v>
      </c>
      <c r="U229" s="8" t="n">
        <v>0.229</v>
      </c>
      <c r="V229" s="6" t="s">
        <v>37</v>
      </c>
      <c r="W229" s="6" t="s">
        <v>38</v>
      </c>
    </row>
    <row r="230" customFormat="false" ht="48" hidden="false" customHeight="true" outlineLevel="0" collapsed="false">
      <c r="A230" s="4" t="n">
        <v>329</v>
      </c>
      <c r="B230" s="4" t="s">
        <v>1511</v>
      </c>
      <c r="C230" s="5" t="s">
        <v>1512</v>
      </c>
      <c r="D230" s="6"/>
      <c r="E230" s="6"/>
      <c r="F230" s="6" t="s">
        <v>1513</v>
      </c>
      <c r="G230" s="6" t="s">
        <v>26</v>
      </c>
      <c r="H230" s="7" t="s">
        <v>1427</v>
      </c>
      <c r="I230" s="7" t="s">
        <v>142</v>
      </c>
      <c r="J230" s="6" t="s">
        <v>1514</v>
      </c>
      <c r="K230" s="6" t="s">
        <v>30</v>
      </c>
      <c r="L230" s="6"/>
      <c r="M230" s="6" t="s">
        <v>1515</v>
      </c>
      <c r="N230" s="6" t="s">
        <v>1516</v>
      </c>
      <c r="O230" s="6" t="s">
        <v>363</v>
      </c>
      <c r="P230" s="6" t="s">
        <v>1504</v>
      </c>
      <c r="Q230" s="8" t="n">
        <v>0.409</v>
      </c>
      <c r="R230" s="6" t="s">
        <v>1504</v>
      </c>
      <c r="S230" s="6" t="s">
        <v>35</v>
      </c>
      <c r="T230" s="6" t="s">
        <v>688</v>
      </c>
      <c r="U230" s="8" t="n">
        <v>0.222</v>
      </c>
      <c r="V230" s="10" t="s">
        <v>78</v>
      </c>
      <c r="W230" s="5" t="s">
        <v>1517</v>
      </c>
    </row>
    <row r="231" customFormat="false" ht="48" hidden="false" customHeight="true" outlineLevel="0" collapsed="false">
      <c r="A231" s="4" t="n">
        <v>330</v>
      </c>
      <c r="B231" s="4" t="s">
        <v>1518</v>
      </c>
      <c r="C231" s="5" t="s">
        <v>1519</v>
      </c>
      <c r="D231" s="6"/>
      <c r="E231" s="6"/>
      <c r="F231" s="6" t="s">
        <v>1520</v>
      </c>
      <c r="G231" s="6" t="s">
        <v>26</v>
      </c>
      <c r="H231" s="7" t="s">
        <v>1427</v>
      </c>
      <c r="I231" s="7" t="s">
        <v>142</v>
      </c>
      <c r="J231" s="6" t="s">
        <v>1521</v>
      </c>
      <c r="K231" s="6" t="s">
        <v>30</v>
      </c>
      <c r="L231" s="6"/>
      <c r="M231" s="6" t="s">
        <v>1522</v>
      </c>
      <c r="N231" s="6" t="s">
        <v>1523</v>
      </c>
      <c r="O231" s="6" t="s">
        <v>363</v>
      </c>
      <c r="P231" s="6" t="s">
        <v>1431</v>
      </c>
      <c r="Q231" s="8" t="n">
        <v>0.25</v>
      </c>
      <c r="R231" s="6"/>
      <c r="S231" s="6" t="s">
        <v>35</v>
      </c>
      <c r="T231" s="6" t="s">
        <v>1524</v>
      </c>
      <c r="U231" s="8" t="n">
        <v>0.207</v>
      </c>
      <c r="V231" s="6" t="s">
        <v>37</v>
      </c>
      <c r="W231" s="6" t="s">
        <v>38</v>
      </c>
    </row>
    <row r="232" customFormat="false" ht="48" hidden="false" customHeight="true" outlineLevel="0" collapsed="false">
      <c r="A232" s="4" t="n">
        <v>331</v>
      </c>
      <c r="B232" s="4" t="s">
        <v>1525</v>
      </c>
      <c r="C232" s="5" t="s">
        <v>1526</v>
      </c>
      <c r="D232" s="6"/>
      <c r="E232" s="6"/>
      <c r="F232" s="6" t="s">
        <v>1527</v>
      </c>
      <c r="G232" s="6" t="s">
        <v>26</v>
      </c>
      <c r="H232" s="7" t="s">
        <v>1427</v>
      </c>
      <c r="I232" s="7" t="s">
        <v>142</v>
      </c>
      <c r="J232" s="6" t="s">
        <v>1528</v>
      </c>
      <c r="K232" s="6" t="s">
        <v>30</v>
      </c>
      <c r="L232" s="6"/>
      <c r="M232" s="6" t="s">
        <v>1529</v>
      </c>
      <c r="N232" s="6" t="s">
        <v>1516</v>
      </c>
      <c r="O232" s="6" t="s">
        <v>363</v>
      </c>
      <c r="P232" s="6" t="s">
        <v>1444</v>
      </c>
      <c r="Q232" s="8" t="n">
        <v>0.517</v>
      </c>
      <c r="R232" s="6" t="s">
        <v>1444</v>
      </c>
      <c r="S232" s="6" t="s">
        <v>35</v>
      </c>
      <c r="T232" s="6" t="s">
        <v>1530</v>
      </c>
      <c r="U232" s="8" t="n">
        <v>0.25</v>
      </c>
      <c r="V232" s="10" t="s">
        <v>78</v>
      </c>
      <c r="W232" s="5" t="s">
        <v>1531</v>
      </c>
    </row>
    <row r="233" customFormat="false" ht="48" hidden="false" customHeight="true" outlineLevel="0" collapsed="false">
      <c r="A233" s="4" t="n">
        <v>332</v>
      </c>
      <c r="B233" s="4" t="s">
        <v>1532</v>
      </c>
      <c r="C233" s="5" t="s">
        <v>1533</v>
      </c>
      <c r="D233" s="6"/>
      <c r="E233" s="6"/>
      <c r="F233" s="6" t="s">
        <v>1534</v>
      </c>
      <c r="G233" s="6" t="s">
        <v>26</v>
      </c>
      <c r="H233" s="7" t="s">
        <v>1427</v>
      </c>
      <c r="I233" s="7" t="s">
        <v>142</v>
      </c>
      <c r="J233" s="6" t="s">
        <v>1535</v>
      </c>
      <c r="K233" s="6" t="s">
        <v>30</v>
      </c>
      <c r="L233" s="6"/>
      <c r="M233" s="6" t="s">
        <v>1536</v>
      </c>
      <c r="N233" s="6" t="s">
        <v>1516</v>
      </c>
      <c r="O233" s="6" t="s">
        <v>363</v>
      </c>
      <c r="P233" s="6" t="s">
        <v>641</v>
      </c>
      <c r="Q233" s="8" t="n">
        <v>0.267</v>
      </c>
      <c r="R233" s="6"/>
      <c r="S233" s="6" t="s">
        <v>35</v>
      </c>
      <c r="T233" s="6" t="s">
        <v>675</v>
      </c>
      <c r="U233" s="8" t="n">
        <v>0.167</v>
      </c>
      <c r="V233" s="6" t="s">
        <v>37</v>
      </c>
      <c r="W233" s="6" t="s">
        <v>38</v>
      </c>
    </row>
    <row r="234" customFormat="false" ht="48" hidden="false" customHeight="true" outlineLevel="0" collapsed="false">
      <c r="A234" s="4" t="n">
        <v>333</v>
      </c>
      <c r="B234" s="4" t="s">
        <v>1537</v>
      </c>
      <c r="C234" s="5" t="s">
        <v>1538</v>
      </c>
      <c r="D234" s="6"/>
      <c r="E234" s="6"/>
      <c r="F234" s="6" t="s">
        <v>1539</v>
      </c>
      <c r="G234" s="6" t="s">
        <v>26</v>
      </c>
      <c r="H234" s="7" t="s">
        <v>1427</v>
      </c>
      <c r="I234" s="7" t="s">
        <v>142</v>
      </c>
      <c r="J234" s="6" t="s">
        <v>1540</v>
      </c>
      <c r="K234" s="6" t="s">
        <v>30</v>
      </c>
      <c r="L234" s="6"/>
      <c r="M234" s="6" t="s">
        <v>1541</v>
      </c>
      <c r="N234" s="6" t="s">
        <v>1542</v>
      </c>
      <c r="O234" s="6" t="s">
        <v>363</v>
      </c>
      <c r="P234" s="6" t="s">
        <v>1480</v>
      </c>
      <c r="Q234" s="8" t="n">
        <v>0.522</v>
      </c>
      <c r="R234" s="6"/>
      <c r="S234" s="6" t="s">
        <v>46</v>
      </c>
      <c r="T234" s="6" t="s">
        <v>1481</v>
      </c>
      <c r="U234" s="8" t="n">
        <v>0.37</v>
      </c>
      <c r="V234" s="10" t="s">
        <v>78</v>
      </c>
      <c r="W234" s="6" t="s">
        <v>1543</v>
      </c>
    </row>
    <row r="235" customFormat="false" ht="48" hidden="false" customHeight="true" outlineLevel="0" collapsed="false">
      <c r="A235" s="4" t="n">
        <v>334</v>
      </c>
      <c r="B235" s="4" t="s">
        <v>1544</v>
      </c>
      <c r="C235" s="5" t="s">
        <v>1545</v>
      </c>
      <c r="D235" s="6"/>
      <c r="E235" s="6"/>
      <c r="F235" s="6" t="s">
        <v>1546</v>
      </c>
      <c r="G235" s="6" t="s">
        <v>26</v>
      </c>
      <c r="H235" s="7" t="s">
        <v>1427</v>
      </c>
      <c r="I235" s="7" t="s">
        <v>142</v>
      </c>
      <c r="J235" s="6" t="s">
        <v>1547</v>
      </c>
      <c r="K235" s="6" t="s">
        <v>30</v>
      </c>
      <c r="L235" s="6"/>
      <c r="M235" s="6" t="s">
        <v>1548</v>
      </c>
      <c r="N235" s="6" t="s">
        <v>1542</v>
      </c>
      <c r="O235" s="6" t="s">
        <v>363</v>
      </c>
      <c r="P235" s="6" t="s">
        <v>1504</v>
      </c>
      <c r="Q235" s="8" t="n">
        <v>0.161</v>
      </c>
      <c r="R235" s="6"/>
      <c r="S235" s="6" t="s">
        <v>46</v>
      </c>
      <c r="T235" s="6" t="s">
        <v>688</v>
      </c>
      <c r="U235" s="8" t="n">
        <v>0.225</v>
      </c>
      <c r="V235" s="9" t="s">
        <v>58</v>
      </c>
      <c r="W235" s="6" t="s">
        <v>59</v>
      </c>
    </row>
    <row r="236" customFormat="false" ht="48" hidden="false" customHeight="true" outlineLevel="0" collapsed="false">
      <c r="A236" s="4" t="n">
        <v>335</v>
      </c>
      <c r="B236" s="4" t="s">
        <v>1549</v>
      </c>
      <c r="C236" s="5" t="s">
        <v>1550</v>
      </c>
      <c r="D236" s="6"/>
      <c r="E236" s="6"/>
      <c r="F236" s="6" t="s">
        <v>1551</v>
      </c>
      <c r="G236" s="6" t="s">
        <v>26</v>
      </c>
      <c r="H236" s="7" t="s">
        <v>1427</v>
      </c>
      <c r="I236" s="7" t="s">
        <v>142</v>
      </c>
      <c r="J236" s="6" t="s">
        <v>1552</v>
      </c>
      <c r="K236" s="6" t="s">
        <v>52</v>
      </c>
      <c r="L236" s="6"/>
      <c r="M236" s="6" t="s">
        <v>1553</v>
      </c>
      <c r="N236" s="6" t="s">
        <v>1554</v>
      </c>
      <c r="O236" s="6" t="s">
        <v>380</v>
      </c>
      <c r="P236" s="6" t="s">
        <v>132</v>
      </c>
      <c r="Q236" s="8" t="n">
        <v>0.346</v>
      </c>
      <c r="R236" s="6"/>
      <c r="S236" s="6" t="s">
        <v>46</v>
      </c>
      <c r="T236" s="6" t="s">
        <v>311</v>
      </c>
      <c r="U236" s="8" t="n">
        <v>0.314</v>
      </c>
      <c r="V236" s="6" t="s">
        <v>37</v>
      </c>
      <c r="W236" s="6" t="s">
        <v>38</v>
      </c>
    </row>
    <row r="237" customFormat="false" ht="48" hidden="false" customHeight="true" outlineLevel="0" collapsed="false">
      <c r="A237" s="4" t="n">
        <v>336</v>
      </c>
      <c r="B237" s="4" t="s">
        <v>1555</v>
      </c>
      <c r="C237" s="5" t="s">
        <v>1556</v>
      </c>
      <c r="D237" s="6"/>
      <c r="E237" s="6"/>
      <c r="F237" s="6" t="s">
        <v>1557</v>
      </c>
      <c r="G237" s="6" t="s">
        <v>26</v>
      </c>
      <c r="H237" s="7" t="s">
        <v>1427</v>
      </c>
      <c r="I237" s="7" t="s">
        <v>142</v>
      </c>
      <c r="J237" s="6" t="s">
        <v>1558</v>
      </c>
      <c r="K237" s="6" t="s">
        <v>52</v>
      </c>
      <c r="L237" s="6"/>
      <c r="M237" s="6" t="s">
        <v>1559</v>
      </c>
      <c r="N237" s="6" t="s">
        <v>1560</v>
      </c>
      <c r="O237" s="6" t="s">
        <v>380</v>
      </c>
      <c r="P237" s="6" t="s">
        <v>100</v>
      </c>
      <c r="Q237" s="8" t="n">
        <v>0.34</v>
      </c>
      <c r="R237" s="6"/>
      <c r="S237" s="6" t="s">
        <v>46</v>
      </c>
      <c r="T237" s="6" t="s">
        <v>311</v>
      </c>
      <c r="U237" s="8" t="n">
        <v>0.347</v>
      </c>
      <c r="V237" s="6" t="s">
        <v>37</v>
      </c>
      <c r="W237" s="6" t="s">
        <v>38</v>
      </c>
    </row>
    <row r="238" customFormat="false" ht="48" hidden="false" customHeight="true" outlineLevel="0" collapsed="false">
      <c r="A238" s="4" t="n">
        <v>337</v>
      </c>
      <c r="B238" s="4" t="s">
        <v>1561</v>
      </c>
      <c r="C238" s="6" t="s">
        <v>1562</v>
      </c>
      <c r="D238" s="6"/>
      <c r="E238" s="6"/>
      <c r="F238" s="6" t="s">
        <v>1563</v>
      </c>
      <c r="G238" s="6" t="s">
        <v>26</v>
      </c>
      <c r="H238" s="7" t="s">
        <v>1427</v>
      </c>
      <c r="I238" s="7" t="s">
        <v>142</v>
      </c>
      <c r="J238" s="6" t="s">
        <v>1564</v>
      </c>
      <c r="K238" s="6" t="s">
        <v>30</v>
      </c>
      <c r="L238" s="6"/>
      <c r="M238" s="6" t="s">
        <v>1565</v>
      </c>
      <c r="N238" s="6" t="s">
        <v>1542</v>
      </c>
      <c r="O238" s="6" t="s">
        <v>363</v>
      </c>
      <c r="P238" s="6" t="s">
        <v>582</v>
      </c>
      <c r="Q238" s="8" t="n">
        <v>0.245</v>
      </c>
      <c r="R238" s="6"/>
      <c r="S238" s="6" t="s">
        <v>46</v>
      </c>
      <c r="T238" s="6" t="s">
        <v>1510</v>
      </c>
      <c r="U238" s="8" t="n">
        <v>0.213</v>
      </c>
      <c r="V238" s="9" t="s">
        <v>58</v>
      </c>
      <c r="W238" s="6" t="s">
        <v>59</v>
      </c>
    </row>
    <row r="239" customFormat="false" ht="48" hidden="false" customHeight="true" outlineLevel="0" collapsed="false">
      <c r="A239" s="4" t="n">
        <v>338</v>
      </c>
      <c r="B239" s="4" t="s">
        <v>1566</v>
      </c>
      <c r="C239" s="5" t="s">
        <v>1567</v>
      </c>
      <c r="D239" s="6"/>
      <c r="E239" s="6"/>
      <c r="F239" s="6" t="s">
        <v>1568</v>
      </c>
      <c r="G239" s="6" t="s">
        <v>26</v>
      </c>
      <c r="H239" s="7" t="s">
        <v>1427</v>
      </c>
      <c r="I239" s="7" t="s">
        <v>142</v>
      </c>
      <c r="J239" s="6" t="s">
        <v>1569</v>
      </c>
      <c r="K239" s="6" t="s">
        <v>658</v>
      </c>
      <c r="L239" s="6"/>
      <c r="M239" s="6" t="s">
        <v>1570</v>
      </c>
      <c r="N239" s="6" t="s">
        <v>1571</v>
      </c>
      <c r="O239" s="6" t="s">
        <v>1572</v>
      </c>
      <c r="P239" s="6" t="s">
        <v>1490</v>
      </c>
      <c r="Q239" s="8" t="n">
        <v>0.244</v>
      </c>
      <c r="R239" s="6" t="s">
        <v>1573</v>
      </c>
      <c r="S239" s="6" t="s">
        <v>35</v>
      </c>
      <c r="T239" s="6" t="s">
        <v>1574</v>
      </c>
      <c r="U239" s="8" t="n">
        <v>0.133</v>
      </c>
      <c r="V239" s="10" t="s">
        <v>78</v>
      </c>
      <c r="W239" s="5" t="s">
        <v>1575</v>
      </c>
    </row>
    <row r="240" customFormat="false" ht="48" hidden="false" customHeight="true" outlineLevel="0" collapsed="false">
      <c r="A240" s="4" t="n">
        <v>339</v>
      </c>
      <c r="B240" s="4" t="s">
        <v>1576</v>
      </c>
      <c r="C240" s="5" t="s">
        <v>1577</v>
      </c>
      <c r="D240" s="6"/>
      <c r="E240" s="6"/>
      <c r="F240" s="6" t="s">
        <v>1578</v>
      </c>
      <c r="G240" s="6" t="s">
        <v>26</v>
      </c>
      <c r="H240" s="7" t="s">
        <v>1427</v>
      </c>
      <c r="I240" s="7" t="s">
        <v>142</v>
      </c>
      <c r="J240" s="6" t="s">
        <v>1579</v>
      </c>
      <c r="K240" s="6" t="s">
        <v>658</v>
      </c>
      <c r="L240" s="6"/>
      <c r="M240" s="6" t="s">
        <v>1580</v>
      </c>
      <c r="N240" s="6" t="s">
        <v>1571</v>
      </c>
      <c r="O240" s="6" t="s">
        <v>1572</v>
      </c>
      <c r="P240" s="6" t="s">
        <v>1581</v>
      </c>
      <c r="Q240" s="8" t="n">
        <v>0.242</v>
      </c>
      <c r="R240" s="6"/>
      <c r="S240" s="6" t="s">
        <v>35</v>
      </c>
      <c r="T240" s="6" t="s">
        <v>1327</v>
      </c>
      <c r="U240" s="8" t="n">
        <v>0.464</v>
      </c>
      <c r="V240" s="6" t="s">
        <v>37</v>
      </c>
      <c r="W240" s="6" t="s">
        <v>38</v>
      </c>
    </row>
    <row r="241" customFormat="false" ht="48" hidden="false" customHeight="true" outlineLevel="0" collapsed="false">
      <c r="A241" s="4" t="n">
        <v>340</v>
      </c>
      <c r="B241" s="4" t="s">
        <v>1582</v>
      </c>
      <c r="C241" s="5" t="s">
        <v>1583</v>
      </c>
      <c r="D241" s="6"/>
      <c r="E241" s="6"/>
      <c r="F241" s="6" t="s">
        <v>1584</v>
      </c>
      <c r="G241" s="6" t="s">
        <v>26</v>
      </c>
      <c r="H241" s="7" t="s">
        <v>1427</v>
      </c>
      <c r="I241" s="7" t="s">
        <v>142</v>
      </c>
      <c r="J241" s="6" t="s">
        <v>1585</v>
      </c>
      <c r="K241" s="6" t="s">
        <v>658</v>
      </c>
      <c r="L241" s="6"/>
      <c r="M241" s="6" t="s">
        <v>1586</v>
      </c>
      <c r="N241" s="6" t="s">
        <v>1571</v>
      </c>
      <c r="O241" s="6" t="s">
        <v>1572</v>
      </c>
      <c r="P241" s="6" t="s">
        <v>1581</v>
      </c>
      <c r="Q241" s="8" t="n">
        <v>0.333</v>
      </c>
      <c r="R241" s="6"/>
      <c r="S241" s="6" t="s">
        <v>35</v>
      </c>
      <c r="T241" s="6" t="s">
        <v>1587</v>
      </c>
      <c r="U241" s="8" t="n">
        <v>0.345</v>
      </c>
      <c r="V241" s="6" t="s">
        <v>37</v>
      </c>
      <c r="W241" s="6" t="s">
        <v>38</v>
      </c>
    </row>
    <row r="242" customFormat="false" ht="48" hidden="false" customHeight="true" outlineLevel="0" collapsed="false">
      <c r="A242" s="4" t="n">
        <v>341</v>
      </c>
      <c r="B242" s="4" t="s">
        <v>1588</v>
      </c>
      <c r="C242" s="5" t="s">
        <v>1589</v>
      </c>
      <c r="D242" s="6"/>
      <c r="E242" s="6"/>
      <c r="F242" s="6" t="s">
        <v>1590</v>
      </c>
      <c r="G242" s="6" t="s">
        <v>26</v>
      </c>
      <c r="H242" s="7" t="s">
        <v>1427</v>
      </c>
      <c r="I242" s="7" t="s">
        <v>142</v>
      </c>
      <c r="J242" s="6" t="s">
        <v>1591</v>
      </c>
      <c r="K242" s="6" t="s">
        <v>658</v>
      </c>
      <c r="L242" s="6"/>
      <c r="M242" s="6" t="s">
        <v>1592</v>
      </c>
      <c r="N242" s="6" t="s">
        <v>1571</v>
      </c>
      <c r="O242" s="6" t="s">
        <v>1572</v>
      </c>
      <c r="P242" s="6" t="s">
        <v>1573</v>
      </c>
      <c r="Q242" s="8" t="n">
        <v>0.267</v>
      </c>
      <c r="R242" s="6"/>
      <c r="S242" s="6" t="s">
        <v>35</v>
      </c>
      <c r="T242" s="6" t="s">
        <v>1593</v>
      </c>
      <c r="U242" s="8" t="n">
        <v>0.206</v>
      </c>
      <c r="V242" s="6" t="s">
        <v>37</v>
      </c>
      <c r="W242" s="6" t="s">
        <v>38</v>
      </c>
    </row>
    <row r="243" customFormat="false" ht="48" hidden="false" customHeight="true" outlineLevel="0" collapsed="false">
      <c r="A243" s="4" t="n">
        <v>342</v>
      </c>
      <c r="B243" s="4" t="s">
        <v>1594</v>
      </c>
      <c r="C243" s="5" t="s">
        <v>1595</v>
      </c>
      <c r="D243" s="6"/>
      <c r="E243" s="6"/>
      <c r="F243" s="6" t="s">
        <v>1596</v>
      </c>
      <c r="G243" s="6" t="s">
        <v>26</v>
      </c>
      <c r="H243" s="7" t="s">
        <v>1427</v>
      </c>
      <c r="I243" s="7" t="s">
        <v>142</v>
      </c>
      <c r="J243" s="6" t="s">
        <v>1597</v>
      </c>
      <c r="K243" s="6" t="s">
        <v>658</v>
      </c>
      <c r="L243" s="6"/>
      <c r="M243" s="6" t="s">
        <v>1598</v>
      </c>
      <c r="N243" s="6" t="s">
        <v>1599</v>
      </c>
      <c r="O243" s="6" t="s">
        <v>1572</v>
      </c>
      <c r="P243" s="6" t="s">
        <v>1497</v>
      </c>
      <c r="Q243" s="8" t="n">
        <v>0.25</v>
      </c>
      <c r="R243" s="6"/>
      <c r="S243" s="6" t="s">
        <v>35</v>
      </c>
      <c r="T243" s="6" t="s">
        <v>1327</v>
      </c>
      <c r="U243" s="8" t="n">
        <v>0.333</v>
      </c>
      <c r="V243" s="6" t="s">
        <v>37</v>
      </c>
      <c r="W243" s="6" t="s">
        <v>38</v>
      </c>
    </row>
    <row r="244" customFormat="false" ht="48" hidden="false" customHeight="true" outlineLevel="0" collapsed="false">
      <c r="A244" s="4" t="n">
        <v>343</v>
      </c>
      <c r="B244" s="4" t="s">
        <v>1600</v>
      </c>
      <c r="C244" s="6" t="s">
        <v>1601</v>
      </c>
      <c r="D244" s="6"/>
      <c r="E244" s="6"/>
      <c r="F244" s="6" t="s">
        <v>1602</v>
      </c>
      <c r="G244" s="6" t="s">
        <v>26</v>
      </c>
      <c r="H244" s="7" t="s">
        <v>1427</v>
      </c>
      <c r="I244" s="7" t="s">
        <v>142</v>
      </c>
      <c r="J244" s="6" t="s">
        <v>1603</v>
      </c>
      <c r="K244" s="6" t="s">
        <v>30</v>
      </c>
      <c r="L244" s="6"/>
      <c r="M244" s="6" t="s">
        <v>1604</v>
      </c>
      <c r="N244" s="6" t="s">
        <v>1542</v>
      </c>
      <c r="O244" s="6" t="s">
        <v>363</v>
      </c>
      <c r="P244" s="6" t="s">
        <v>1504</v>
      </c>
      <c r="Q244" s="8" t="n">
        <v>0.158</v>
      </c>
      <c r="R244" s="6"/>
      <c r="S244" s="6" t="s">
        <v>46</v>
      </c>
      <c r="T244" s="6" t="s">
        <v>669</v>
      </c>
      <c r="U244" s="8" t="n">
        <v>0.135</v>
      </c>
      <c r="V244" s="9" t="s">
        <v>58</v>
      </c>
      <c r="W244" s="6" t="s">
        <v>59</v>
      </c>
    </row>
    <row r="245" customFormat="false" ht="48" hidden="false" customHeight="true" outlineLevel="0" collapsed="false">
      <c r="A245" s="4" t="n">
        <v>344</v>
      </c>
      <c r="B245" s="4" t="s">
        <v>1605</v>
      </c>
      <c r="C245" s="6" t="s">
        <v>1606</v>
      </c>
      <c r="D245" s="6"/>
      <c r="E245" s="6"/>
      <c r="F245" s="6" t="s">
        <v>1607</v>
      </c>
      <c r="G245" s="6" t="s">
        <v>26</v>
      </c>
      <c r="H245" s="7" t="s">
        <v>1427</v>
      </c>
      <c r="I245" s="7" t="s">
        <v>142</v>
      </c>
      <c r="J245" s="6" t="s">
        <v>1608</v>
      </c>
      <c r="K245" s="6" t="s">
        <v>30</v>
      </c>
      <c r="L245" s="6"/>
      <c r="M245" s="6" t="s">
        <v>1609</v>
      </c>
      <c r="N245" s="6" t="s">
        <v>1610</v>
      </c>
      <c r="O245" s="6" t="s">
        <v>363</v>
      </c>
      <c r="P245" s="6" t="s">
        <v>500</v>
      </c>
      <c r="Q245" s="8" t="n">
        <v>0.208</v>
      </c>
      <c r="R245" s="6"/>
      <c r="S245" s="6" t="s">
        <v>46</v>
      </c>
      <c r="T245" s="6" t="s">
        <v>899</v>
      </c>
      <c r="U245" s="8" t="n">
        <v>0.139</v>
      </c>
      <c r="V245" s="9" t="s">
        <v>58</v>
      </c>
      <c r="W245" s="6" t="s">
        <v>59</v>
      </c>
    </row>
    <row r="246" customFormat="false" ht="48" hidden="false" customHeight="true" outlineLevel="0" collapsed="false">
      <c r="A246" s="4" t="n">
        <v>345</v>
      </c>
      <c r="B246" s="4" t="s">
        <v>1611</v>
      </c>
      <c r="C246" s="6" t="s">
        <v>1612</v>
      </c>
      <c r="D246" s="6"/>
      <c r="E246" s="6"/>
      <c r="F246" s="6" t="s">
        <v>1613</v>
      </c>
      <c r="G246" s="6" t="s">
        <v>26</v>
      </c>
      <c r="H246" s="7" t="s">
        <v>1427</v>
      </c>
      <c r="I246" s="7" t="s">
        <v>142</v>
      </c>
      <c r="J246" s="6" t="s">
        <v>1614</v>
      </c>
      <c r="K246" s="6" t="s">
        <v>30</v>
      </c>
      <c r="L246" s="6"/>
      <c r="M246" s="6" t="s">
        <v>1615</v>
      </c>
      <c r="N246" s="6" t="s">
        <v>1542</v>
      </c>
      <c r="O246" s="6" t="s">
        <v>363</v>
      </c>
      <c r="P246" s="6" t="s">
        <v>582</v>
      </c>
      <c r="Q246" s="8" t="n">
        <v>0.283</v>
      </c>
      <c r="R246" s="6"/>
      <c r="S246" s="6" t="s">
        <v>46</v>
      </c>
      <c r="T246" s="6" t="s">
        <v>1510</v>
      </c>
      <c r="U246" s="8" t="n">
        <v>0.19</v>
      </c>
      <c r="V246" s="9" t="s">
        <v>58</v>
      </c>
      <c r="W246" s="6" t="s">
        <v>59</v>
      </c>
    </row>
    <row r="247" customFormat="false" ht="48" hidden="false" customHeight="true" outlineLevel="0" collapsed="false">
      <c r="A247" s="4" t="n">
        <v>346</v>
      </c>
      <c r="B247" s="4" t="s">
        <v>1616</v>
      </c>
      <c r="C247" s="5" t="s">
        <v>1617</v>
      </c>
      <c r="D247" s="6"/>
      <c r="E247" s="6"/>
      <c r="F247" s="6" t="s">
        <v>1618</v>
      </c>
      <c r="G247" s="6" t="s">
        <v>26</v>
      </c>
      <c r="H247" s="7" t="s">
        <v>1427</v>
      </c>
      <c r="I247" s="7" t="s">
        <v>267</v>
      </c>
      <c r="J247" s="6" t="s">
        <v>1619</v>
      </c>
      <c r="K247" s="6" t="s">
        <v>658</v>
      </c>
      <c r="L247" s="6"/>
      <c r="M247" s="6" t="s">
        <v>1620</v>
      </c>
      <c r="N247" s="6" t="s">
        <v>1571</v>
      </c>
      <c r="O247" s="6" t="s">
        <v>1572</v>
      </c>
      <c r="P247" s="6" t="s">
        <v>1573</v>
      </c>
      <c r="Q247" s="8" t="n">
        <v>0.333</v>
      </c>
      <c r="R247" s="6"/>
      <c r="S247" s="6" t="s">
        <v>35</v>
      </c>
      <c r="T247" s="6" t="s">
        <v>1327</v>
      </c>
      <c r="U247" s="8" t="n">
        <v>0.379</v>
      </c>
      <c r="V247" s="6" t="s">
        <v>37</v>
      </c>
      <c r="W247" s="6" t="s">
        <v>38</v>
      </c>
    </row>
    <row r="248" customFormat="false" ht="48" hidden="false" customHeight="true" outlineLevel="0" collapsed="false">
      <c r="A248" s="4" t="n">
        <v>347</v>
      </c>
      <c r="B248" s="4" t="s">
        <v>1621</v>
      </c>
      <c r="C248" s="5" t="s">
        <v>1622</v>
      </c>
      <c r="D248" s="6"/>
      <c r="E248" s="6"/>
      <c r="F248" s="6" t="s">
        <v>1623</v>
      </c>
      <c r="G248" s="6" t="s">
        <v>26</v>
      </c>
      <c r="H248" s="7" t="s">
        <v>1427</v>
      </c>
      <c r="I248" s="7" t="s">
        <v>267</v>
      </c>
      <c r="J248" s="6" t="s">
        <v>1624</v>
      </c>
      <c r="K248" s="6" t="s">
        <v>658</v>
      </c>
      <c r="L248" s="6"/>
      <c r="M248" s="6" t="s">
        <v>1625</v>
      </c>
      <c r="N248" s="6" t="s">
        <v>1571</v>
      </c>
      <c r="O248" s="6" t="s">
        <v>1572</v>
      </c>
      <c r="P248" s="6" t="s">
        <v>1581</v>
      </c>
      <c r="Q248" s="8" t="n">
        <v>0.242</v>
      </c>
      <c r="R248" s="6"/>
      <c r="S248" s="6" t="s">
        <v>35</v>
      </c>
      <c r="T248" s="6" t="s">
        <v>1327</v>
      </c>
      <c r="U248" s="8" t="n">
        <v>0.367</v>
      </c>
      <c r="V248" s="6" t="s">
        <v>37</v>
      </c>
      <c r="W248" s="6" t="s">
        <v>38</v>
      </c>
    </row>
    <row r="249" customFormat="false" ht="48" hidden="false" customHeight="true" outlineLevel="0" collapsed="false">
      <c r="A249" s="4" t="n">
        <v>348</v>
      </c>
      <c r="B249" s="4" t="s">
        <v>1626</v>
      </c>
      <c r="C249" s="5" t="s">
        <v>1627</v>
      </c>
      <c r="D249" s="6"/>
      <c r="E249" s="6"/>
      <c r="F249" s="6" t="s">
        <v>1628</v>
      </c>
      <c r="G249" s="6" t="s">
        <v>26</v>
      </c>
      <c r="H249" s="7" t="s">
        <v>1427</v>
      </c>
      <c r="I249" s="7" t="s">
        <v>267</v>
      </c>
      <c r="J249" s="6" t="s">
        <v>1629</v>
      </c>
      <c r="K249" s="6" t="s">
        <v>658</v>
      </c>
      <c r="L249" s="6"/>
      <c r="M249" s="6" t="s">
        <v>1630</v>
      </c>
      <c r="N249" s="6" t="s">
        <v>1571</v>
      </c>
      <c r="O249" s="6" t="s">
        <v>1572</v>
      </c>
      <c r="P249" s="6" t="s">
        <v>1573</v>
      </c>
      <c r="Q249" s="8" t="n">
        <v>0.333</v>
      </c>
      <c r="R249" s="6"/>
      <c r="S249" s="6" t="s">
        <v>35</v>
      </c>
      <c r="T249" s="6" t="s">
        <v>1587</v>
      </c>
      <c r="U249" s="8" t="n">
        <v>0.444</v>
      </c>
      <c r="V249" s="6" t="s">
        <v>37</v>
      </c>
      <c r="W249" s="6" t="s">
        <v>38</v>
      </c>
    </row>
    <row r="250" customFormat="false" ht="48" hidden="false" customHeight="true" outlineLevel="0" collapsed="false">
      <c r="A250" s="4" t="n">
        <v>349</v>
      </c>
      <c r="B250" s="4" t="s">
        <v>1631</v>
      </c>
      <c r="C250" s="5" t="s">
        <v>1632</v>
      </c>
      <c r="D250" s="6"/>
      <c r="E250" s="6"/>
      <c r="F250" s="6" t="s">
        <v>1633</v>
      </c>
      <c r="G250" s="6" t="s">
        <v>26</v>
      </c>
      <c r="H250" s="7" t="s">
        <v>1427</v>
      </c>
      <c r="I250" s="7" t="s">
        <v>267</v>
      </c>
      <c r="J250" s="6" t="s">
        <v>1634</v>
      </c>
      <c r="K250" s="6" t="s">
        <v>658</v>
      </c>
      <c r="L250" s="6"/>
      <c r="M250" s="6" t="s">
        <v>1635</v>
      </c>
      <c r="N250" s="6" t="s">
        <v>1571</v>
      </c>
      <c r="O250" s="6" t="s">
        <v>1572</v>
      </c>
      <c r="P250" s="6" t="s">
        <v>1480</v>
      </c>
      <c r="Q250" s="8" t="n">
        <v>0.259</v>
      </c>
      <c r="R250" s="6"/>
      <c r="S250" s="6" t="s">
        <v>35</v>
      </c>
      <c r="T250" s="6" t="s">
        <v>1593</v>
      </c>
      <c r="U250" s="8" t="n">
        <v>0.206</v>
      </c>
      <c r="V250" s="6" t="s">
        <v>37</v>
      </c>
      <c r="W250" s="6" t="s">
        <v>38</v>
      </c>
    </row>
    <row r="251" customFormat="false" ht="48" hidden="false" customHeight="true" outlineLevel="0" collapsed="false">
      <c r="A251" s="4" t="n">
        <v>350</v>
      </c>
      <c r="B251" s="4" t="s">
        <v>1636</v>
      </c>
      <c r="C251" s="5" t="s">
        <v>1637</v>
      </c>
      <c r="D251" s="6"/>
      <c r="E251" s="6"/>
      <c r="F251" s="6" t="s">
        <v>1638</v>
      </c>
      <c r="G251" s="6" t="s">
        <v>26</v>
      </c>
      <c r="H251" s="7" t="s">
        <v>1427</v>
      </c>
      <c r="I251" s="7" t="s">
        <v>267</v>
      </c>
      <c r="J251" s="6" t="s">
        <v>1639</v>
      </c>
      <c r="K251" s="6" t="s">
        <v>30</v>
      </c>
      <c r="L251" s="6"/>
      <c r="M251" s="6" t="s">
        <v>1640</v>
      </c>
      <c r="N251" s="6" t="s">
        <v>1641</v>
      </c>
      <c r="O251" s="6" t="s">
        <v>1642</v>
      </c>
      <c r="P251" s="6" t="s">
        <v>1643</v>
      </c>
      <c r="Q251" s="8" t="n">
        <v>0.387</v>
      </c>
      <c r="R251" s="6" t="s">
        <v>1643</v>
      </c>
      <c r="S251" s="6" t="s">
        <v>35</v>
      </c>
      <c r="T251" s="6" t="s">
        <v>1644</v>
      </c>
      <c r="U251" s="8" t="n">
        <v>0.257</v>
      </c>
      <c r="V251" s="10" t="s">
        <v>78</v>
      </c>
      <c r="W251" s="5" t="s">
        <v>1645</v>
      </c>
    </row>
    <row r="252" customFormat="false" ht="48" hidden="false" customHeight="true" outlineLevel="0" collapsed="false">
      <c r="A252" s="4" t="n">
        <v>351</v>
      </c>
      <c r="B252" s="4" t="s">
        <v>1646</v>
      </c>
      <c r="C252" s="5" t="s">
        <v>1647</v>
      </c>
      <c r="D252" s="6"/>
      <c r="E252" s="6"/>
      <c r="F252" s="6" t="s">
        <v>1648</v>
      </c>
      <c r="G252" s="6" t="s">
        <v>26</v>
      </c>
      <c r="H252" s="7" t="s">
        <v>1427</v>
      </c>
      <c r="I252" s="7" t="s">
        <v>267</v>
      </c>
      <c r="J252" s="6" t="s">
        <v>1649</v>
      </c>
      <c r="K252" s="6" t="s">
        <v>30</v>
      </c>
      <c r="L252" s="6"/>
      <c r="M252" s="6" t="s">
        <v>1650</v>
      </c>
      <c r="N252" s="6" t="s">
        <v>1641</v>
      </c>
      <c r="O252" s="6" t="s">
        <v>1642</v>
      </c>
      <c r="P252" s="6" t="s">
        <v>891</v>
      </c>
      <c r="Q252" s="8" t="n">
        <v>0.321</v>
      </c>
      <c r="R252" s="6"/>
      <c r="S252" s="6" t="s">
        <v>35</v>
      </c>
      <c r="T252" s="6" t="s">
        <v>1524</v>
      </c>
      <c r="U252" s="8" t="n">
        <v>0.414</v>
      </c>
      <c r="V252" s="9" t="s">
        <v>58</v>
      </c>
      <c r="W252" s="6" t="s">
        <v>59</v>
      </c>
    </row>
    <row r="253" customFormat="false" ht="48" hidden="false" customHeight="true" outlineLevel="0" collapsed="false">
      <c r="A253" s="4" t="n">
        <v>352</v>
      </c>
      <c r="B253" s="4" t="s">
        <v>1651</v>
      </c>
      <c r="C253" s="5" t="s">
        <v>1652</v>
      </c>
      <c r="D253" s="6"/>
      <c r="E253" s="6"/>
      <c r="F253" s="6" t="s">
        <v>1653</v>
      </c>
      <c r="G253" s="6" t="s">
        <v>26</v>
      </c>
      <c r="H253" s="7" t="s">
        <v>1427</v>
      </c>
      <c r="I253" s="7" t="s">
        <v>267</v>
      </c>
      <c r="J253" s="6" t="s">
        <v>1654</v>
      </c>
      <c r="K253" s="6" t="s">
        <v>30</v>
      </c>
      <c r="L253" s="6"/>
      <c r="M253" s="6" t="s">
        <v>1655</v>
      </c>
      <c r="N253" s="6" t="s">
        <v>1641</v>
      </c>
      <c r="O253" s="6" t="s">
        <v>1656</v>
      </c>
      <c r="P253" s="6" t="s">
        <v>1444</v>
      </c>
      <c r="Q253" s="8" t="n">
        <v>0.394</v>
      </c>
      <c r="R253" s="6"/>
      <c r="S253" s="6" t="s">
        <v>35</v>
      </c>
      <c r="T253" s="6" t="s">
        <v>1457</v>
      </c>
      <c r="U253" s="8" t="n">
        <v>0.289</v>
      </c>
      <c r="V253" s="9" t="s">
        <v>58</v>
      </c>
      <c r="W253" s="6" t="s">
        <v>59</v>
      </c>
    </row>
    <row r="254" customFormat="false" ht="48" hidden="false" customHeight="true" outlineLevel="0" collapsed="false">
      <c r="A254" s="4" t="n">
        <v>353</v>
      </c>
      <c r="B254" s="4" t="s">
        <v>1657</v>
      </c>
      <c r="C254" s="5" t="s">
        <v>1658</v>
      </c>
      <c r="D254" s="6"/>
      <c r="E254" s="6"/>
      <c r="F254" s="6" t="s">
        <v>1659</v>
      </c>
      <c r="G254" s="6" t="s">
        <v>26</v>
      </c>
      <c r="H254" s="7" t="s">
        <v>1427</v>
      </c>
      <c r="I254" s="7" t="s">
        <v>267</v>
      </c>
      <c r="J254" s="6" t="s">
        <v>1660</v>
      </c>
      <c r="K254" s="6" t="s">
        <v>30</v>
      </c>
      <c r="L254" s="6"/>
      <c r="M254" s="6" t="s">
        <v>1661</v>
      </c>
      <c r="N254" s="6" t="s">
        <v>1641</v>
      </c>
      <c r="O254" s="6" t="s">
        <v>1656</v>
      </c>
      <c r="P254" s="6" t="s">
        <v>1662</v>
      </c>
      <c r="Q254" s="8" t="n">
        <v>0.438</v>
      </c>
      <c r="R254" s="6"/>
      <c r="S254" s="6" t="s">
        <v>35</v>
      </c>
      <c r="T254" s="6" t="s">
        <v>1663</v>
      </c>
      <c r="U254" s="8" t="n">
        <v>0.412</v>
      </c>
      <c r="V254" s="9" t="s">
        <v>58</v>
      </c>
      <c r="W254" s="6" t="s">
        <v>59</v>
      </c>
    </row>
    <row r="255" customFormat="false" ht="48" hidden="false" customHeight="true" outlineLevel="0" collapsed="false">
      <c r="A255" s="4" t="n">
        <v>354</v>
      </c>
      <c r="B255" s="4" t="s">
        <v>1664</v>
      </c>
      <c r="C255" s="5" t="s">
        <v>1665</v>
      </c>
      <c r="D255" s="6"/>
      <c r="E255" s="6"/>
      <c r="F255" s="6" t="s">
        <v>1666</v>
      </c>
      <c r="G255" s="6" t="s">
        <v>26</v>
      </c>
      <c r="H255" s="7" t="s">
        <v>1427</v>
      </c>
      <c r="I255" s="7" t="s">
        <v>267</v>
      </c>
      <c r="J255" s="6" t="s">
        <v>1667</v>
      </c>
      <c r="K255" s="6" t="s">
        <v>30</v>
      </c>
      <c r="L255" s="6"/>
      <c r="M255" s="6" t="s">
        <v>1668</v>
      </c>
      <c r="N255" s="6" t="s">
        <v>1669</v>
      </c>
      <c r="O255" s="6" t="s">
        <v>1656</v>
      </c>
      <c r="P255" s="6" t="s">
        <v>1670</v>
      </c>
      <c r="Q255" s="8" t="n">
        <v>0.645</v>
      </c>
      <c r="R255" s="6"/>
      <c r="S255" s="6" t="s">
        <v>46</v>
      </c>
      <c r="T255" s="6" t="s">
        <v>1457</v>
      </c>
      <c r="U255" s="8" t="n">
        <v>0.429</v>
      </c>
      <c r="V255" s="10" t="s">
        <v>78</v>
      </c>
      <c r="W255" s="6" t="s">
        <v>1671</v>
      </c>
    </row>
    <row r="256" customFormat="false" ht="48" hidden="false" customHeight="true" outlineLevel="0" collapsed="false">
      <c r="A256" s="4" t="n">
        <v>355</v>
      </c>
      <c r="B256" s="4" t="s">
        <v>1672</v>
      </c>
      <c r="C256" s="5" t="s">
        <v>1673</v>
      </c>
      <c r="D256" s="6"/>
      <c r="E256" s="6"/>
      <c r="F256" s="6" t="s">
        <v>1674</v>
      </c>
      <c r="G256" s="6" t="s">
        <v>26</v>
      </c>
      <c r="H256" s="7" t="s">
        <v>1427</v>
      </c>
      <c r="I256" s="7" t="s">
        <v>267</v>
      </c>
      <c r="J256" s="6" t="s">
        <v>1675</v>
      </c>
      <c r="K256" s="6" t="s">
        <v>52</v>
      </c>
      <c r="L256" s="6"/>
      <c r="M256" s="6" t="s">
        <v>1676</v>
      </c>
      <c r="N256" s="6" t="s">
        <v>1677</v>
      </c>
      <c r="O256" s="6" t="s">
        <v>1678</v>
      </c>
      <c r="P256" s="6" t="s">
        <v>132</v>
      </c>
      <c r="Q256" s="8" t="n">
        <v>0.333</v>
      </c>
      <c r="R256" s="6"/>
      <c r="S256" s="6" t="s">
        <v>46</v>
      </c>
      <c r="T256" s="6" t="s">
        <v>311</v>
      </c>
      <c r="U256" s="8" t="n">
        <v>0.302</v>
      </c>
      <c r="V256" s="6" t="s">
        <v>37</v>
      </c>
      <c r="W256" s="6" t="s">
        <v>38</v>
      </c>
    </row>
    <row r="257" customFormat="false" ht="48" hidden="false" customHeight="true" outlineLevel="0" collapsed="false">
      <c r="A257" s="4" t="n">
        <v>356</v>
      </c>
      <c r="B257" s="4" t="s">
        <v>1679</v>
      </c>
      <c r="C257" s="5" t="s">
        <v>1680</v>
      </c>
      <c r="D257" s="6"/>
      <c r="E257" s="6"/>
      <c r="F257" s="6" t="s">
        <v>1681</v>
      </c>
      <c r="G257" s="6" t="s">
        <v>26</v>
      </c>
      <c r="H257" s="7" t="s">
        <v>1427</v>
      </c>
      <c r="I257" s="7" t="s">
        <v>267</v>
      </c>
      <c r="J257" s="6" t="s">
        <v>1682</v>
      </c>
      <c r="K257" s="6" t="s">
        <v>52</v>
      </c>
      <c r="L257" s="6"/>
      <c r="M257" s="6" t="s">
        <v>1683</v>
      </c>
      <c r="N257" s="6" t="s">
        <v>1684</v>
      </c>
      <c r="O257" s="6" t="s">
        <v>1685</v>
      </c>
      <c r="P257" s="6" t="s">
        <v>100</v>
      </c>
      <c r="Q257" s="8" t="n">
        <v>0.327</v>
      </c>
      <c r="R257" s="6"/>
      <c r="S257" s="6" t="s">
        <v>46</v>
      </c>
      <c r="T257" s="6" t="s">
        <v>311</v>
      </c>
      <c r="U257" s="8" t="n">
        <v>0.333</v>
      </c>
      <c r="V257" s="6" t="s">
        <v>37</v>
      </c>
      <c r="W257" s="6" t="s">
        <v>38</v>
      </c>
    </row>
    <row r="258" customFormat="false" ht="48" hidden="false" customHeight="true" outlineLevel="0" collapsed="false">
      <c r="A258" s="4" t="n">
        <v>357</v>
      </c>
      <c r="B258" s="4" t="s">
        <v>1686</v>
      </c>
      <c r="C258" s="5" t="s">
        <v>1687</v>
      </c>
      <c r="D258" s="6"/>
      <c r="E258" s="6"/>
      <c r="F258" s="6" t="s">
        <v>1688</v>
      </c>
      <c r="G258" s="6" t="s">
        <v>26</v>
      </c>
      <c r="H258" s="7" t="s">
        <v>1427</v>
      </c>
      <c r="I258" s="7" t="s">
        <v>267</v>
      </c>
      <c r="J258" s="6" t="s">
        <v>1689</v>
      </c>
      <c r="K258" s="6" t="s">
        <v>30</v>
      </c>
      <c r="L258" s="6"/>
      <c r="M258" s="6" t="s">
        <v>1690</v>
      </c>
      <c r="N258" s="6" t="s">
        <v>1669</v>
      </c>
      <c r="O258" s="6" t="s">
        <v>1656</v>
      </c>
      <c r="P258" s="6" t="s">
        <v>1662</v>
      </c>
      <c r="Q258" s="8" t="n">
        <v>0.455</v>
      </c>
      <c r="R258" s="6"/>
      <c r="S258" s="6" t="s">
        <v>46</v>
      </c>
      <c r="T258" s="6" t="s">
        <v>1457</v>
      </c>
      <c r="U258" s="8" t="n">
        <v>0.316</v>
      </c>
      <c r="V258" s="6" t="s">
        <v>37</v>
      </c>
      <c r="W258" s="6" t="s">
        <v>38</v>
      </c>
    </row>
    <row r="259" customFormat="false" ht="48" hidden="false" customHeight="true" outlineLevel="0" collapsed="false">
      <c r="A259" s="4" t="n">
        <v>358</v>
      </c>
      <c r="B259" s="4" t="s">
        <v>1691</v>
      </c>
      <c r="C259" s="5" t="s">
        <v>1692</v>
      </c>
      <c r="D259" s="6"/>
      <c r="E259" s="6"/>
      <c r="F259" s="6" t="s">
        <v>1693</v>
      </c>
      <c r="G259" s="6" t="s">
        <v>26</v>
      </c>
      <c r="H259" s="7" t="s">
        <v>1427</v>
      </c>
      <c r="I259" s="7" t="s">
        <v>267</v>
      </c>
      <c r="J259" s="6" t="s">
        <v>1694</v>
      </c>
      <c r="K259" s="6" t="s">
        <v>30</v>
      </c>
      <c r="L259" s="6"/>
      <c r="M259" s="6" t="s">
        <v>1695</v>
      </c>
      <c r="N259" s="6" t="s">
        <v>1669</v>
      </c>
      <c r="O259" s="6" t="s">
        <v>1642</v>
      </c>
      <c r="P259" s="6" t="s">
        <v>1670</v>
      </c>
      <c r="Q259" s="8" t="n">
        <v>0.286</v>
      </c>
      <c r="R259" s="6"/>
      <c r="S259" s="6" t="s">
        <v>46</v>
      </c>
      <c r="T259" s="6" t="s">
        <v>1510</v>
      </c>
      <c r="U259" s="8" t="n">
        <v>0.421</v>
      </c>
      <c r="V259" s="6" t="s">
        <v>37</v>
      </c>
      <c r="W259" s="6" t="s">
        <v>38</v>
      </c>
    </row>
    <row r="260" customFormat="false" ht="48" hidden="false" customHeight="true" outlineLevel="0" collapsed="false">
      <c r="A260" s="4" t="n">
        <v>359</v>
      </c>
      <c r="B260" s="4" t="s">
        <v>1696</v>
      </c>
      <c r="C260" s="6" t="s">
        <v>1697</v>
      </c>
      <c r="D260" s="6"/>
      <c r="E260" s="6"/>
      <c r="F260" s="6" t="s">
        <v>1698</v>
      </c>
      <c r="G260" s="6" t="s">
        <v>1699</v>
      </c>
      <c r="H260" s="7" t="s">
        <v>1700</v>
      </c>
      <c r="I260" s="7" t="s">
        <v>28</v>
      </c>
      <c r="J260" s="6" t="s">
        <v>1701</v>
      </c>
      <c r="K260" s="6" t="s">
        <v>52</v>
      </c>
      <c r="L260" s="6"/>
      <c r="M260" s="6" t="s">
        <v>1702</v>
      </c>
      <c r="N260" s="6" t="s">
        <v>1703</v>
      </c>
      <c r="O260" s="6" t="s">
        <v>52</v>
      </c>
      <c r="P260" s="6" t="s">
        <v>56</v>
      </c>
      <c r="Q260" s="8" t="n">
        <v>0.511</v>
      </c>
      <c r="R260" s="6" t="s">
        <v>56</v>
      </c>
      <c r="S260" s="6" t="s">
        <v>35</v>
      </c>
      <c r="T260" s="6" t="s">
        <v>57</v>
      </c>
      <c r="U260" s="8" t="n">
        <v>0.267</v>
      </c>
      <c r="V260" s="10" t="s">
        <v>78</v>
      </c>
      <c r="W260" s="5" t="s">
        <v>1704</v>
      </c>
    </row>
    <row r="261" customFormat="false" ht="48" hidden="false" customHeight="true" outlineLevel="0" collapsed="false">
      <c r="A261" s="4" t="n">
        <v>360</v>
      </c>
      <c r="B261" s="4" t="s">
        <v>1705</v>
      </c>
      <c r="C261" s="6" t="s">
        <v>1706</v>
      </c>
      <c r="D261" s="6"/>
      <c r="E261" s="6"/>
      <c r="F261" s="6" t="s">
        <v>1707</v>
      </c>
      <c r="G261" s="6" t="s">
        <v>1699</v>
      </c>
      <c r="H261" s="7" t="s">
        <v>1700</v>
      </c>
      <c r="I261" s="7" t="s">
        <v>28</v>
      </c>
      <c r="J261" s="6" t="s">
        <v>1708</v>
      </c>
      <c r="K261" s="6" t="s">
        <v>52</v>
      </c>
      <c r="L261" s="6"/>
      <c r="M261" s="6" t="s">
        <v>1709</v>
      </c>
      <c r="N261" s="6" t="s">
        <v>1710</v>
      </c>
      <c r="O261" s="6" t="s">
        <v>52</v>
      </c>
      <c r="P261" s="6" t="s">
        <v>471</v>
      </c>
      <c r="Q261" s="8" t="n">
        <v>0.255</v>
      </c>
      <c r="R261" s="6"/>
      <c r="S261" s="6" t="s">
        <v>35</v>
      </c>
      <c r="T261" s="6" t="s">
        <v>543</v>
      </c>
      <c r="U261" s="8" t="n">
        <v>0.41</v>
      </c>
      <c r="V261" s="6" t="s">
        <v>37</v>
      </c>
      <c r="W261" s="6" t="s">
        <v>38</v>
      </c>
    </row>
    <row r="262" customFormat="false" ht="48" hidden="false" customHeight="true" outlineLevel="0" collapsed="false">
      <c r="A262" s="4" t="n">
        <v>361</v>
      </c>
      <c r="B262" s="4" t="s">
        <v>1711</v>
      </c>
      <c r="C262" s="6" t="s">
        <v>1712</v>
      </c>
      <c r="D262" s="6"/>
      <c r="E262" s="6"/>
      <c r="F262" s="6" t="s">
        <v>1713</v>
      </c>
      <c r="G262" s="6" t="s">
        <v>1699</v>
      </c>
      <c r="H262" s="7" t="s">
        <v>1700</v>
      </c>
      <c r="I262" s="7" t="s">
        <v>28</v>
      </c>
      <c r="J262" s="6" t="s">
        <v>1714</v>
      </c>
      <c r="K262" s="6" t="s">
        <v>52</v>
      </c>
      <c r="L262" s="6"/>
      <c r="M262" s="6" t="s">
        <v>1715</v>
      </c>
      <c r="N262" s="6" t="s">
        <v>1703</v>
      </c>
      <c r="O262" s="6" t="s">
        <v>52</v>
      </c>
      <c r="P262" s="6" t="s">
        <v>56</v>
      </c>
      <c r="Q262" s="8" t="n">
        <v>0.413</v>
      </c>
      <c r="R262" s="6"/>
      <c r="S262" s="6" t="s">
        <v>35</v>
      </c>
      <c r="T262" s="6" t="s">
        <v>57</v>
      </c>
      <c r="U262" s="8" t="n">
        <v>0.296</v>
      </c>
      <c r="V262" s="9" t="s">
        <v>58</v>
      </c>
      <c r="W262" s="6" t="s">
        <v>59</v>
      </c>
    </row>
    <row r="263" customFormat="false" ht="48" hidden="false" customHeight="true" outlineLevel="0" collapsed="false">
      <c r="A263" s="4" t="n">
        <v>362</v>
      </c>
      <c r="B263" s="4" t="s">
        <v>1716</v>
      </c>
      <c r="C263" s="6" t="s">
        <v>1717</v>
      </c>
      <c r="D263" s="6"/>
      <c r="E263" s="6"/>
      <c r="F263" s="6" t="s">
        <v>1718</v>
      </c>
      <c r="G263" s="6" t="s">
        <v>1699</v>
      </c>
      <c r="H263" s="7" t="s">
        <v>1700</v>
      </c>
      <c r="I263" s="7" t="s">
        <v>28</v>
      </c>
      <c r="J263" s="6" t="s">
        <v>1719</v>
      </c>
      <c r="K263" s="6" t="s">
        <v>52</v>
      </c>
      <c r="L263" s="6"/>
      <c r="M263" s="6" t="s">
        <v>1720</v>
      </c>
      <c r="N263" s="6" t="s">
        <v>1703</v>
      </c>
      <c r="O263" s="6" t="s">
        <v>52</v>
      </c>
      <c r="P263" s="6" t="s">
        <v>56</v>
      </c>
      <c r="Q263" s="8" t="n">
        <v>0.405</v>
      </c>
      <c r="R263" s="6"/>
      <c r="S263" s="6" t="s">
        <v>35</v>
      </c>
      <c r="T263" s="6" t="s">
        <v>57</v>
      </c>
      <c r="U263" s="8" t="n">
        <v>0.333</v>
      </c>
      <c r="V263" s="9" t="s">
        <v>58</v>
      </c>
      <c r="W263" s="6" t="s">
        <v>59</v>
      </c>
    </row>
    <row r="264" customFormat="false" ht="48" hidden="false" customHeight="true" outlineLevel="0" collapsed="false">
      <c r="A264" s="4" t="n">
        <v>363</v>
      </c>
      <c r="B264" s="4" t="s">
        <v>1721</v>
      </c>
      <c r="C264" s="6" t="s">
        <v>1722</v>
      </c>
      <c r="D264" s="6"/>
      <c r="E264" s="6"/>
      <c r="F264" s="6" t="s">
        <v>1723</v>
      </c>
      <c r="G264" s="6" t="s">
        <v>1699</v>
      </c>
      <c r="H264" s="7" t="s">
        <v>1700</v>
      </c>
      <c r="I264" s="7" t="s">
        <v>28</v>
      </c>
      <c r="J264" s="6" t="s">
        <v>1724</v>
      </c>
      <c r="K264" s="6" t="s">
        <v>52</v>
      </c>
      <c r="L264" s="6"/>
      <c r="M264" s="6" t="s">
        <v>1725</v>
      </c>
      <c r="N264" s="6" t="s">
        <v>1726</v>
      </c>
      <c r="O264" s="6" t="s">
        <v>52</v>
      </c>
      <c r="P264" s="6" t="s">
        <v>1154</v>
      </c>
      <c r="Q264" s="8" t="n">
        <v>0.411</v>
      </c>
      <c r="R264" s="6"/>
      <c r="S264" s="6" t="s">
        <v>35</v>
      </c>
      <c r="T264" s="6" t="s">
        <v>1155</v>
      </c>
      <c r="U264" s="8" t="n">
        <v>0.308</v>
      </c>
      <c r="V264" s="6" t="s">
        <v>37</v>
      </c>
      <c r="W264" s="6" t="s">
        <v>38</v>
      </c>
    </row>
    <row r="265" customFormat="false" ht="48" hidden="false" customHeight="true" outlineLevel="0" collapsed="false">
      <c r="A265" s="4" t="n">
        <v>364</v>
      </c>
      <c r="B265" s="4" t="s">
        <v>1727</v>
      </c>
      <c r="C265" s="6" t="s">
        <v>1728</v>
      </c>
      <c r="D265" s="6"/>
      <c r="E265" s="6"/>
      <c r="F265" s="6" t="s">
        <v>1729</v>
      </c>
      <c r="G265" s="6" t="s">
        <v>1699</v>
      </c>
      <c r="H265" s="7" t="s">
        <v>1700</v>
      </c>
      <c r="I265" s="7" t="s">
        <v>28</v>
      </c>
      <c r="J265" s="6" t="s">
        <v>1730</v>
      </c>
      <c r="K265" s="6" t="s">
        <v>52</v>
      </c>
      <c r="L265" s="6"/>
      <c r="M265" s="6" t="s">
        <v>1731</v>
      </c>
      <c r="N265" s="6" t="s">
        <v>1726</v>
      </c>
      <c r="O265" s="6" t="s">
        <v>52</v>
      </c>
      <c r="P265" s="6" t="s">
        <v>100</v>
      </c>
      <c r="Q265" s="8" t="n">
        <v>0.327</v>
      </c>
      <c r="R265" s="6"/>
      <c r="S265" s="6" t="s">
        <v>35</v>
      </c>
      <c r="T265" s="6" t="s">
        <v>311</v>
      </c>
      <c r="U265" s="8" t="n">
        <v>0.417</v>
      </c>
      <c r="V265" s="6" t="s">
        <v>37</v>
      </c>
      <c r="W265" s="6" t="s">
        <v>38</v>
      </c>
    </row>
    <row r="266" customFormat="false" ht="48" hidden="false" customHeight="true" outlineLevel="0" collapsed="false">
      <c r="A266" s="4" t="n">
        <v>365</v>
      </c>
      <c r="B266" s="4" t="s">
        <v>1732</v>
      </c>
      <c r="C266" s="6" t="s">
        <v>1733</v>
      </c>
      <c r="D266" s="6"/>
      <c r="E266" s="6"/>
      <c r="F266" s="6" t="s">
        <v>1734</v>
      </c>
      <c r="G266" s="6" t="s">
        <v>1699</v>
      </c>
      <c r="H266" s="7" t="s">
        <v>1700</v>
      </c>
      <c r="I266" s="7" t="s">
        <v>28</v>
      </c>
      <c r="J266" s="6" t="s">
        <v>1735</v>
      </c>
      <c r="K266" s="6" t="s">
        <v>52</v>
      </c>
      <c r="L266" s="6"/>
      <c r="M266" s="6" t="s">
        <v>1736</v>
      </c>
      <c r="N266" s="6" t="s">
        <v>1703</v>
      </c>
      <c r="O266" s="6" t="s">
        <v>52</v>
      </c>
      <c r="P266" s="6" t="s">
        <v>56</v>
      </c>
      <c r="Q266" s="8" t="n">
        <v>0.42</v>
      </c>
      <c r="R266" s="6"/>
      <c r="S266" s="6" t="s">
        <v>35</v>
      </c>
      <c r="T266" s="6" t="s">
        <v>57</v>
      </c>
      <c r="U266" s="8" t="n">
        <v>0.267</v>
      </c>
      <c r="V266" s="9" t="s">
        <v>58</v>
      </c>
      <c r="W266" s="6" t="s">
        <v>59</v>
      </c>
    </row>
    <row r="267" customFormat="false" ht="48" hidden="false" customHeight="true" outlineLevel="0" collapsed="false">
      <c r="A267" s="4" t="n">
        <v>366</v>
      </c>
      <c r="B267" s="4" t="s">
        <v>1737</v>
      </c>
      <c r="C267" s="6" t="s">
        <v>1738</v>
      </c>
      <c r="D267" s="6"/>
      <c r="E267" s="6"/>
      <c r="F267" s="6" t="s">
        <v>1698</v>
      </c>
      <c r="G267" s="6" t="s">
        <v>1699</v>
      </c>
      <c r="H267" s="7" t="s">
        <v>1700</v>
      </c>
      <c r="I267" s="7" t="s">
        <v>28</v>
      </c>
      <c r="J267" s="6" t="s">
        <v>1701</v>
      </c>
      <c r="K267" s="6" t="s">
        <v>52</v>
      </c>
      <c r="L267" s="6"/>
      <c r="M267" s="6" t="s">
        <v>1739</v>
      </c>
      <c r="N267" s="6" t="s">
        <v>1703</v>
      </c>
      <c r="O267" s="6" t="s">
        <v>52</v>
      </c>
      <c r="P267" s="6" t="s">
        <v>56</v>
      </c>
      <c r="Q267" s="8" t="n">
        <v>0.512</v>
      </c>
      <c r="R267" s="6" t="s">
        <v>56</v>
      </c>
      <c r="S267" s="6" t="s">
        <v>35</v>
      </c>
      <c r="T267" s="6" t="s">
        <v>57</v>
      </c>
      <c r="U267" s="8" t="n">
        <v>0.296</v>
      </c>
      <c r="V267" s="10" t="s">
        <v>78</v>
      </c>
      <c r="W267" s="5" t="s">
        <v>1740</v>
      </c>
    </row>
    <row r="268" customFormat="false" ht="48" hidden="false" customHeight="true" outlineLevel="0" collapsed="false">
      <c r="A268" s="4" t="n">
        <v>367</v>
      </c>
      <c r="B268" s="4" t="s">
        <v>1741</v>
      </c>
      <c r="C268" s="6" t="s">
        <v>1742</v>
      </c>
      <c r="D268" s="6"/>
      <c r="E268" s="6"/>
      <c r="F268" s="6" t="s">
        <v>1743</v>
      </c>
      <c r="G268" s="6" t="s">
        <v>1699</v>
      </c>
      <c r="H268" s="7" t="s">
        <v>1700</v>
      </c>
      <c r="I268" s="7" t="s">
        <v>28</v>
      </c>
      <c r="J268" s="6" t="s">
        <v>1744</v>
      </c>
      <c r="K268" s="6" t="s">
        <v>52</v>
      </c>
      <c r="L268" s="6"/>
      <c r="M268" s="6" t="s">
        <v>1745</v>
      </c>
      <c r="N268" s="6" t="s">
        <v>1726</v>
      </c>
      <c r="O268" s="6" t="s">
        <v>52</v>
      </c>
      <c r="P268" s="6" t="s">
        <v>100</v>
      </c>
      <c r="Q268" s="8" t="n">
        <v>0.365</v>
      </c>
      <c r="R268" s="6"/>
      <c r="S268" s="6" t="s">
        <v>35</v>
      </c>
      <c r="T268" s="6" t="s">
        <v>101</v>
      </c>
      <c r="U268" s="8" t="n">
        <v>0.352</v>
      </c>
      <c r="V268" s="6" t="s">
        <v>37</v>
      </c>
      <c r="W268" s="6" t="s">
        <v>38</v>
      </c>
    </row>
    <row r="269" customFormat="false" ht="48" hidden="false" customHeight="true" outlineLevel="0" collapsed="false">
      <c r="A269" s="4" t="n">
        <v>368</v>
      </c>
      <c r="B269" s="4" t="s">
        <v>1746</v>
      </c>
      <c r="C269" s="6" t="s">
        <v>1747</v>
      </c>
      <c r="D269" s="6"/>
      <c r="E269" s="6"/>
      <c r="F269" s="6" t="s">
        <v>1748</v>
      </c>
      <c r="G269" s="6" t="s">
        <v>1699</v>
      </c>
      <c r="H269" s="7" t="s">
        <v>1700</v>
      </c>
      <c r="I269" s="7" t="s">
        <v>28</v>
      </c>
      <c r="J269" s="6" t="s">
        <v>1749</v>
      </c>
      <c r="K269" s="6" t="s">
        <v>52</v>
      </c>
      <c r="L269" s="6"/>
      <c r="M269" s="6" t="s">
        <v>1750</v>
      </c>
      <c r="N269" s="6" t="s">
        <v>1726</v>
      </c>
      <c r="O269" s="6" t="s">
        <v>52</v>
      </c>
      <c r="P269" s="6" t="s">
        <v>1163</v>
      </c>
      <c r="Q269" s="8" t="n">
        <v>0.489</v>
      </c>
      <c r="R269" s="6"/>
      <c r="S269" s="6" t="s">
        <v>35</v>
      </c>
      <c r="T269" s="6" t="s">
        <v>1164</v>
      </c>
      <c r="U269" s="8" t="n">
        <v>0.377</v>
      </c>
      <c r="V269" s="6" t="s">
        <v>37</v>
      </c>
      <c r="W269" s="6" t="s">
        <v>38</v>
      </c>
    </row>
    <row r="270" customFormat="false" ht="48" hidden="false" customHeight="true" outlineLevel="0" collapsed="false">
      <c r="A270" s="4" t="n">
        <v>369</v>
      </c>
      <c r="B270" s="4" t="s">
        <v>1751</v>
      </c>
      <c r="C270" s="6" t="s">
        <v>1752</v>
      </c>
      <c r="D270" s="6"/>
      <c r="E270" s="6"/>
      <c r="F270" s="6" t="s">
        <v>1723</v>
      </c>
      <c r="G270" s="6" t="s">
        <v>1699</v>
      </c>
      <c r="H270" s="7" t="s">
        <v>1700</v>
      </c>
      <c r="I270" s="7" t="s">
        <v>28</v>
      </c>
      <c r="J270" s="6" t="s">
        <v>1724</v>
      </c>
      <c r="K270" s="6" t="s">
        <v>52</v>
      </c>
      <c r="L270" s="6"/>
      <c r="M270" s="6" t="s">
        <v>1753</v>
      </c>
      <c r="N270" s="6" t="s">
        <v>1726</v>
      </c>
      <c r="O270" s="6" t="s">
        <v>52</v>
      </c>
      <c r="P270" s="6" t="s">
        <v>1154</v>
      </c>
      <c r="Q270" s="8" t="n">
        <v>0.523</v>
      </c>
      <c r="R270" s="6"/>
      <c r="S270" s="6" t="s">
        <v>35</v>
      </c>
      <c r="T270" s="6" t="s">
        <v>1155</v>
      </c>
      <c r="U270" s="8" t="n">
        <v>0.377</v>
      </c>
      <c r="V270" s="10" t="s">
        <v>78</v>
      </c>
      <c r="W270" s="6" t="s">
        <v>1754</v>
      </c>
    </row>
    <row r="271" customFormat="false" ht="48" hidden="false" customHeight="true" outlineLevel="0" collapsed="false">
      <c r="A271" s="4" t="n">
        <v>370</v>
      </c>
      <c r="B271" s="4" t="s">
        <v>1755</v>
      </c>
      <c r="C271" s="6" t="s">
        <v>1756</v>
      </c>
      <c r="D271" s="6"/>
      <c r="E271" s="6"/>
      <c r="F271" s="6" t="s">
        <v>1757</v>
      </c>
      <c r="G271" s="6" t="s">
        <v>1699</v>
      </c>
      <c r="H271" s="7" t="s">
        <v>1700</v>
      </c>
      <c r="I271" s="7" t="s">
        <v>28</v>
      </c>
      <c r="J271" s="6" t="s">
        <v>1758</v>
      </c>
      <c r="K271" s="6" t="s">
        <v>52</v>
      </c>
      <c r="L271" s="6"/>
      <c r="M271" s="6" t="s">
        <v>1759</v>
      </c>
      <c r="N271" s="6" t="s">
        <v>1726</v>
      </c>
      <c r="O271" s="6" t="s">
        <v>52</v>
      </c>
      <c r="P271" s="6" t="s">
        <v>132</v>
      </c>
      <c r="Q271" s="8" t="n">
        <v>0.38</v>
      </c>
      <c r="R271" s="6"/>
      <c r="S271" s="6" t="s">
        <v>35</v>
      </c>
      <c r="T271" s="6" t="s">
        <v>101</v>
      </c>
      <c r="U271" s="8" t="n">
        <v>0.327</v>
      </c>
      <c r="V271" s="6" t="s">
        <v>37</v>
      </c>
      <c r="W271" s="6" t="s">
        <v>38</v>
      </c>
    </row>
    <row r="272" customFormat="false" ht="48" hidden="false" customHeight="true" outlineLevel="0" collapsed="false">
      <c r="A272" s="4" t="n">
        <v>371</v>
      </c>
      <c r="B272" s="4" t="s">
        <v>1760</v>
      </c>
      <c r="C272" s="6" t="s">
        <v>1761</v>
      </c>
      <c r="D272" s="6"/>
      <c r="E272" s="6"/>
      <c r="F272" s="6" t="s">
        <v>1762</v>
      </c>
      <c r="G272" s="6" t="s">
        <v>1699</v>
      </c>
      <c r="H272" s="7" t="s">
        <v>1700</v>
      </c>
      <c r="I272" s="13" t="s">
        <v>28</v>
      </c>
      <c r="J272" s="6" t="s">
        <v>1763</v>
      </c>
      <c r="K272" s="6" t="s">
        <v>52</v>
      </c>
      <c r="L272" s="5" t="s">
        <v>1764</v>
      </c>
      <c r="M272" s="6" t="s">
        <v>1765</v>
      </c>
      <c r="N272" s="6" t="s">
        <v>1766</v>
      </c>
      <c r="O272" s="6" t="s">
        <v>52</v>
      </c>
      <c r="P272" s="6" t="s">
        <v>56</v>
      </c>
      <c r="Q272" s="8" t="n">
        <v>0.106</v>
      </c>
      <c r="R272" s="6"/>
      <c r="S272" s="6" t="s">
        <v>35</v>
      </c>
      <c r="T272" s="6" t="s">
        <v>1767</v>
      </c>
      <c r="U272" s="8" t="n">
        <v>0.286</v>
      </c>
      <c r="V272" s="6" t="s">
        <v>37</v>
      </c>
      <c r="W272" s="6" t="s">
        <v>38</v>
      </c>
    </row>
    <row r="273" customFormat="false" ht="48" hidden="false" customHeight="true" outlineLevel="0" collapsed="false">
      <c r="A273" s="4" t="n">
        <v>372</v>
      </c>
      <c r="B273" s="4" t="s">
        <v>1768</v>
      </c>
      <c r="C273" s="6" t="s">
        <v>1769</v>
      </c>
      <c r="D273" s="6"/>
      <c r="E273" s="6"/>
      <c r="F273" s="6" t="s">
        <v>1770</v>
      </c>
      <c r="G273" s="6" t="s">
        <v>1699</v>
      </c>
      <c r="H273" s="7" t="s">
        <v>1700</v>
      </c>
      <c r="I273" s="13" t="s">
        <v>28</v>
      </c>
      <c r="J273" s="6" t="s">
        <v>1771</v>
      </c>
      <c r="K273" s="6" t="s">
        <v>52</v>
      </c>
      <c r="L273" s="5" t="s">
        <v>1764</v>
      </c>
      <c r="M273" s="6" t="s">
        <v>1772</v>
      </c>
      <c r="N273" s="6" t="s">
        <v>1766</v>
      </c>
      <c r="O273" s="6" t="s">
        <v>52</v>
      </c>
      <c r="P273" s="6" t="s">
        <v>56</v>
      </c>
      <c r="Q273" s="8" t="n">
        <v>0.14</v>
      </c>
      <c r="R273" s="6"/>
      <c r="S273" s="6" t="s">
        <v>35</v>
      </c>
      <c r="T273" s="6" t="s">
        <v>435</v>
      </c>
      <c r="U273" s="8" t="n">
        <v>0.344</v>
      </c>
      <c r="V273" s="6" t="s">
        <v>37</v>
      </c>
      <c r="W273" s="6" t="s">
        <v>38</v>
      </c>
    </row>
    <row r="274" customFormat="false" ht="48" hidden="false" customHeight="true" outlineLevel="0" collapsed="false">
      <c r="A274" s="4" t="n">
        <v>373</v>
      </c>
      <c r="B274" s="4" t="s">
        <v>1773</v>
      </c>
      <c r="C274" s="6" t="s">
        <v>1774</v>
      </c>
      <c r="D274" s="6"/>
      <c r="E274" s="6"/>
      <c r="F274" s="6" t="s">
        <v>1723</v>
      </c>
      <c r="G274" s="6" t="s">
        <v>1699</v>
      </c>
      <c r="H274" s="7" t="s">
        <v>1700</v>
      </c>
      <c r="I274" s="13" t="s">
        <v>28</v>
      </c>
      <c r="J274" s="6" t="s">
        <v>1724</v>
      </c>
      <c r="K274" s="6" t="s">
        <v>52</v>
      </c>
      <c r="L274" s="5" t="s">
        <v>1764</v>
      </c>
      <c r="M274" s="6" t="s">
        <v>1775</v>
      </c>
      <c r="N274" s="6" t="s">
        <v>1726</v>
      </c>
      <c r="O274" s="6" t="s">
        <v>52</v>
      </c>
      <c r="P274" s="6" t="s">
        <v>1154</v>
      </c>
      <c r="Q274" s="8" t="n">
        <v>0.49</v>
      </c>
      <c r="R274" s="6"/>
      <c r="S274" s="6" t="s">
        <v>35</v>
      </c>
      <c r="T274" s="6" t="s">
        <v>1155</v>
      </c>
      <c r="U274" s="8" t="n">
        <v>0.339</v>
      </c>
      <c r="V274" s="14" t="s">
        <v>1776</v>
      </c>
      <c r="W274" s="6" t="s">
        <v>1777</v>
      </c>
    </row>
    <row r="275" customFormat="false" ht="48" hidden="false" customHeight="true" outlineLevel="0" collapsed="false">
      <c r="A275" s="4" t="n">
        <v>374</v>
      </c>
      <c r="B275" s="4" t="s">
        <v>1778</v>
      </c>
      <c r="C275" s="6" t="s">
        <v>1779</v>
      </c>
      <c r="D275" s="6"/>
      <c r="E275" s="6"/>
      <c r="F275" s="6" t="s">
        <v>1762</v>
      </c>
      <c r="G275" s="6" t="s">
        <v>1699</v>
      </c>
      <c r="H275" s="7" t="s">
        <v>1700</v>
      </c>
      <c r="I275" s="13" t="s">
        <v>28</v>
      </c>
      <c r="J275" s="6" t="s">
        <v>1763</v>
      </c>
      <c r="K275" s="6" t="s">
        <v>52</v>
      </c>
      <c r="L275" s="5" t="s">
        <v>1764</v>
      </c>
      <c r="M275" s="6" t="s">
        <v>1780</v>
      </c>
      <c r="N275" s="6" t="s">
        <v>1766</v>
      </c>
      <c r="O275" s="6" t="s">
        <v>52</v>
      </c>
      <c r="P275" s="6" t="s">
        <v>56</v>
      </c>
      <c r="Q275" s="8" t="n">
        <v>0.137</v>
      </c>
      <c r="R275" s="6"/>
      <c r="S275" s="6" t="s">
        <v>35</v>
      </c>
      <c r="T275" s="6" t="s">
        <v>1767</v>
      </c>
      <c r="U275" s="8" t="n">
        <v>0.25</v>
      </c>
      <c r="V275" s="14" t="s">
        <v>1776</v>
      </c>
      <c r="W275" s="6" t="s">
        <v>1777</v>
      </c>
    </row>
    <row r="276" customFormat="false" ht="48" hidden="false" customHeight="true" outlineLevel="0" collapsed="false">
      <c r="A276" s="4" t="n">
        <v>375</v>
      </c>
      <c r="B276" s="4" t="s">
        <v>1781</v>
      </c>
      <c r="C276" s="6" t="s">
        <v>1782</v>
      </c>
      <c r="D276" s="6"/>
      <c r="E276" s="6"/>
      <c r="F276" s="6" t="s">
        <v>1757</v>
      </c>
      <c r="G276" s="6" t="s">
        <v>1699</v>
      </c>
      <c r="H276" s="7" t="s">
        <v>1700</v>
      </c>
      <c r="I276" s="13" t="s">
        <v>28</v>
      </c>
      <c r="J276" s="6" t="s">
        <v>1758</v>
      </c>
      <c r="K276" s="6" t="s">
        <v>52</v>
      </c>
      <c r="L276" s="5" t="s">
        <v>1764</v>
      </c>
      <c r="M276" s="6" t="s">
        <v>1783</v>
      </c>
      <c r="N276" s="6" t="s">
        <v>1726</v>
      </c>
      <c r="O276" s="6" t="s">
        <v>52</v>
      </c>
      <c r="P276" s="6" t="s">
        <v>132</v>
      </c>
      <c r="Q276" s="8" t="n">
        <v>0.4</v>
      </c>
      <c r="R276" s="6"/>
      <c r="S276" s="6" t="s">
        <v>35</v>
      </c>
      <c r="T276" s="6" t="s">
        <v>101</v>
      </c>
      <c r="U276" s="8" t="n">
        <v>0.367</v>
      </c>
      <c r="V276" s="14" t="s">
        <v>1776</v>
      </c>
      <c r="W276" s="6" t="s">
        <v>1777</v>
      </c>
    </row>
    <row r="277" customFormat="false" ht="48" hidden="false" customHeight="true" outlineLevel="0" collapsed="false">
      <c r="A277" s="4" t="n">
        <v>376</v>
      </c>
      <c r="B277" s="4" t="s">
        <v>1784</v>
      </c>
      <c r="C277" s="6" t="s">
        <v>1785</v>
      </c>
      <c r="D277" s="6"/>
      <c r="E277" s="6"/>
      <c r="F277" s="6" t="s">
        <v>1770</v>
      </c>
      <c r="G277" s="6" t="s">
        <v>1699</v>
      </c>
      <c r="H277" s="7" t="s">
        <v>1700</v>
      </c>
      <c r="I277" s="13" t="s">
        <v>28</v>
      </c>
      <c r="J277" s="6" t="s">
        <v>1771</v>
      </c>
      <c r="K277" s="6" t="s">
        <v>52</v>
      </c>
      <c r="L277" s="5" t="s">
        <v>1764</v>
      </c>
      <c r="M277" s="6" t="s">
        <v>1786</v>
      </c>
      <c r="N277" s="6" t="s">
        <v>1766</v>
      </c>
      <c r="O277" s="6" t="s">
        <v>52</v>
      </c>
      <c r="P277" s="6" t="s">
        <v>56</v>
      </c>
      <c r="Q277" s="8" t="n">
        <v>0.109</v>
      </c>
      <c r="R277" s="6"/>
      <c r="S277" s="6" t="s">
        <v>35</v>
      </c>
      <c r="T277" s="6" t="s">
        <v>435</v>
      </c>
      <c r="U277" s="8" t="n">
        <v>0.423</v>
      </c>
      <c r="V277" s="14" t="s">
        <v>1776</v>
      </c>
      <c r="W277" s="6" t="s">
        <v>1777</v>
      </c>
    </row>
    <row r="278" customFormat="false" ht="48" hidden="false" customHeight="true" outlineLevel="0" collapsed="false">
      <c r="A278" s="4" t="n">
        <v>377</v>
      </c>
      <c r="B278" s="4" t="s">
        <v>1787</v>
      </c>
      <c r="C278" s="6" t="s">
        <v>1788</v>
      </c>
      <c r="D278" s="6"/>
      <c r="E278" s="6"/>
      <c r="F278" s="6" t="s">
        <v>1789</v>
      </c>
      <c r="G278" s="6" t="s">
        <v>1699</v>
      </c>
      <c r="H278" s="7" t="s">
        <v>1700</v>
      </c>
      <c r="I278" s="13" t="s">
        <v>28</v>
      </c>
      <c r="J278" s="6" t="s">
        <v>1790</v>
      </c>
      <c r="K278" s="6" t="s">
        <v>52</v>
      </c>
      <c r="L278" s="5" t="s">
        <v>1764</v>
      </c>
      <c r="M278" s="6" t="s">
        <v>1791</v>
      </c>
      <c r="N278" s="6" t="s">
        <v>1703</v>
      </c>
      <c r="O278" s="6" t="s">
        <v>52</v>
      </c>
      <c r="P278" s="6" t="s">
        <v>56</v>
      </c>
      <c r="Q278" s="8" t="n">
        <v>0.42</v>
      </c>
      <c r="R278" s="6"/>
      <c r="S278" s="6" t="s">
        <v>35</v>
      </c>
      <c r="T278" s="6" t="s">
        <v>57</v>
      </c>
      <c r="U278" s="8" t="n">
        <v>0.267</v>
      </c>
      <c r="V278" s="9" t="s">
        <v>58</v>
      </c>
      <c r="W278" s="6" t="s">
        <v>59</v>
      </c>
    </row>
    <row r="279" customFormat="false" ht="48" hidden="false" customHeight="true" outlineLevel="0" collapsed="false">
      <c r="A279" s="4" t="n">
        <v>378</v>
      </c>
      <c r="B279" s="4" t="s">
        <v>1792</v>
      </c>
      <c r="C279" s="6" t="s">
        <v>1793</v>
      </c>
      <c r="D279" s="6"/>
      <c r="E279" s="6"/>
      <c r="F279" s="6" t="s">
        <v>1748</v>
      </c>
      <c r="G279" s="6" t="s">
        <v>1699</v>
      </c>
      <c r="H279" s="7" t="s">
        <v>1700</v>
      </c>
      <c r="I279" s="13" t="s">
        <v>28</v>
      </c>
      <c r="J279" s="6" t="s">
        <v>1749</v>
      </c>
      <c r="K279" s="6" t="s">
        <v>52</v>
      </c>
      <c r="L279" s="5" t="s">
        <v>1764</v>
      </c>
      <c r="M279" s="6" t="s">
        <v>1794</v>
      </c>
      <c r="N279" s="6" t="s">
        <v>1726</v>
      </c>
      <c r="O279" s="6" t="s">
        <v>52</v>
      </c>
      <c r="P279" s="6" t="s">
        <v>1163</v>
      </c>
      <c r="Q279" s="8" t="n">
        <v>0.407</v>
      </c>
      <c r="R279" s="6"/>
      <c r="S279" s="6" t="s">
        <v>35</v>
      </c>
      <c r="T279" s="6" t="s">
        <v>1164</v>
      </c>
      <c r="U279" s="8" t="n">
        <v>0.324</v>
      </c>
      <c r="V279" s="14" t="s">
        <v>1776</v>
      </c>
      <c r="W279" s="6" t="s">
        <v>1777</v>
      </c>
    </row>
    <row r="280" customFormat="false" ht="48" hidden="false" customHeight="true" outlineLevel="0" collapsed="false">
      <c r="A280" s="4" t="n">
        <v>379</v>
      </c>
      <c r="B280" s="4" t="s">
        <v>1795</v>
      </c>
      <c r="C280" s="6" t="s">
        <v>1796</v>
      </c>
      <c r="D280" s="6"/>
      <c r="E280" s="6"/>
      <c r="F280" s="6" t="s">
        <v>1713</v>
      </c>
      <c r="G280" s="6" t="s">
        <v>1699</v>
      </c>
      <c r="H280" s="7" t="s">
        <v>1700</v>
      </c>
      <c r="I280" s="13" t="s">
        <v>28</v>
      </c>
      <c r="J280" s="6" t="s">
        <v>1714</v>
      </c>
      <c r="K280" s="6" t="s">
        <v>52</v>
      </c>
      <c r="L280" s="5" t="s">
        <v>1764</v>
      </c>
      <c r="M280" s="6" t="s">
        <v>1797</v>
      </c>
      <c r="N280" s="6" t="s">
        <v>1703</v>
      </c>
      <c r="O280" s="6" t="s">
        <v>52</v>
      </c>
      <c r="P280" s="6" t="s">
        <v>56</v>
      </c>
      <c r="Q280" s="8" t="n">
        <v>0.42</v>
      </c>
      <c r="R280" s="6"/>
      <c r="S280" s="6" t="s">
        <v>35</v>
      </c>
      <c r="T280" s="6" t="s">
        <v>57</v>
      </c>
      <c r="U280" s="8" t="n">
        <v>0.267</v>
      </c>
      <c r="V280" s="14" t="s">
        <v>1776</v>
      </c>
      <c r="W280" s="6" t="s">
        <v>1777</v>
      </c>
    </row>
    <row r="281" customFormat="false" ht="48" hidden="false" customHeight="true" outlineLevel="0" collapsed="false">
      <c r="A281" s="4" t="n">
        <v>380</v>
      </c>
      <c r="B281" s="4" t="s">
        <v>1798</v>
      </c>
      <c r="C281" s="6" t="s">
        <v>1799</v>
      </c>
      <c r="D281" s="6"/>
      <c r="E281" s="6"/>
      <c r="F281" s="6" t="s">
        <v>1789</v>
      </c>
      <c r="G281" s="6" t="s">
        <v>1699</v>
      </c>
      <c r="H281" s="7" t="s">
        <v>1700</v>
      </c>
      <c r="I281" s="13" t="s">
        <v>28</v>
      </c>
      <c r="J281" s="6" t="s">
        <v>1790</v>
      </c>
      <c r="K281" s="6" t="s">
        <v>52</v>
      </c>
      <c r="L281" s="5" t="s">
        <v>1764</v>
      </c>
      <c r="M281" s="6" t="s">
        <v>1800</v>
      </c>
      <c r="N281" s="6" t="s">
        <v>1703</v>
      </c>
      <c r="O281" s="6" t="s">
        <v>52</v>
      </c>
      <c r="P281" s="6" t="s">
        <v>56</v>
      </c>
      <c r="Q281" s="8" t="n">
        <v>0.413</v>
      </c>
      <c r="R281" s="6"/>
      <c r="S281" s="6" t="s">
        <v>35</v>
      </c>
      <c r="T281" s="6" t="s">
        <v>57</v>
      </c>
      <c r="U281" s="8" t="n">
        <v>0.296</v>
      </c>
      <c r="V281" s="14" t="s">
        <v>1776</v>
      </c>
      <c r="W281" s="6" t="s">
        <v>1777</v>
      </c>
    </row>
    <row r="282" customFormat="false" ht="48" hidden="false" customHeight="true" outlineLevel="0" collapsed="false">
      <c r="A282" s="4" t="n">
        <v>381</v>
      </c>
      <c r="B282" s="4" t="s">
        <v>1801</v>
      </c>
      <c r="C282" s="6" t="s">
        <v>1802</v>
      </c>
      <c r="D282" s="6"/>
      <c r="E282" s="6"/>
      <c r="F282" s="6" t="s">
        <v>1803</v>
      </c>
      <c r="G282" s="6" t="s">
        <v>1699</v>
      </c>
      <c r="H282" s="7" t="s">
        <v>1700</v>
      </c>
      <c r="I282" s="13" t="s">
        <v>28</v>
      </c>
      <c r="J282" s="6" t="s">
        <v>1804</v>
      </c>
      <c r="K282" s="6" t="s">
        <v>52</v>
      </c>
      <c r="L282" s="5" t="s">
        <v>1764</v>
      </c>
      <c r="M282" s="6" t="s">
        <v>1805</v>
      </c>
      <c r="N282" s="6" t="s">
        <v>1710</v>
      </c>
      <c r="O282" s="6" t="s">
        <v>52</v>
      </c>
      <c r="P282" s="6" t="s">
        <v>381</v>
      </c>
      <c r="Q282" s="8" t="n">
        <v>0.351</v>
      </c>
      <c r="R282" s="6"/>
      <c r="S282" s="6" t="s">
        <v>35</v>
      </c>
      <c r="T282" s="6" t="s">
        <v>382</v>
      </c>
      <c r="U282" s="8" t="n">
        <v>0.441</v>
      </c>
      <c r="V282" s="6" t="s">
        <v>37</v>
      </c>
      <c r="W282" s="6" t="s">
        <v>38</v>
      </c>
    </row>
    <row r="283" customFormat="false" ht="48" hidden="false" customHeight="true" outlineLevel="0" collapsed="false">
      <c r="A283" s="4" t="n">
        <v>382</v>
      </c>
      <c r="B283" s="4" t="s">
        <v>1806</v>
      </c>
      <c r="C283" s="6" t="s">
        <v>1807</v>
      </c>
      <c r="D283" s="6"/>
      <c r="E283" s="6"/>
      <c r="F283" s="6" t="s">
        <v>1734</v>
      </c>
      <c r="G283" s="6" t="s">
        <v>1699</v>
      </c>
      <c r="H283" s="7" t="s">
        <v>1700</v>
      </c>
      <c r="I283" s="13" t="s">
        <v>28</v>
      </c>
      <c r="J283" s="6" t="s">
        <v>1735</v>
      </c>
      <c r="K283" s="6" t="s">
        <v>52</v>
      </c>
      <c r="L283" s="5" t="s">
        <v>1764</v>
      </c>
      <c r="M283" s="6" t="s">
        <v>1808</v>
      </c>
      <c r="N283" s="6" t="s">
        <v>1703</v>
      </c>
      <c r="O283" s="6" t="s">
        <v>52</v>
      </c>
      <c r="P283" s="6" t="s">
        <v>56</v>
      </c>
      <c r="Q283" s="8" t="n">
        <v>0.413</v>
      </c>
      <c r="R283" s="6"/>
      <c r="S283" s="6" t="s">
        <v>35</v>
      </c>
      <c r="T283" s="6" t="s">
        <v>57</v>
      </c>
      <c r="U283" s="8" t="n">
        <v>0.296</v>
      </c>
      <c r="V283" s="14" t="s">
        <v>1776</v>
      </c>
      <c r="W283" s="6" t="s">
        <v>1777</v>
      </c>
    </row>
    <row r="284" customFormat="false" ht="48" hidden="false" customHeight="true" outlineLevel="0" collapsed="false">
      <c r="A284" s="4" t="n">
        <v>383</v>
      </c>
      <c r="B284" s="4" t="s">
        <v>1809</v>
      </c>
      <c r="C284" s="6" t="s">
        <v>1810</v>
      </c>
      <c r="D284" s="6"/>
      <c r="E284" s="6"/>
      <c r="F284" s="6" t="s">
        <v>1713</v>
      </c>
      <c r="G284" s="6" t="s">
        <v>1699</v>
      </c>
      <c r="H284" s="7" t="s">
        <v>1700</v>
      </c>
      <c r="I284" s="13" t="s">
        <v>28</v>
      </c>
      <c r="J284" s="6" t="s">
        <v>1714</v>
      </c>
      <c r="K284" s="6" t="s">
        <v>52</v>
      </c>
      <c r="L284" s="5" t="s">
        <v>1764</v>
      </c>
      <c r="M284" s="6" t="s">
        <v>1811</v>
      </c>
      <c r="N284" s="6" t="s">
        <v>1703</v>
      </c>
      <c r="O284" s="6" t="s">
        <v>52</v>
      </c>
      <c r="P284" s="6" t="s">
        <v>56</v>
      </c>
      <c r="Q284" s="8" t="n">
        <v>0.405</v>
      </c>
      <c r="R284" s="6"/>
      <c r="S284" s="6" t="s">
        <v>35</v>
      </c>
      <c r="T284" s="6" t="s">
        <v>57</v>
      </c>
      <c r="U284" s="8" t="n">
        <v>0.333</v>
      </c>
      <c r="V284" s="14" t="s">
        <v>1776</v>
      </c>
      <c r="W284" s="6" t="s">
        <v>1777</v>
      </c>
    </row>
    <row r="285" customFormat="false" ht="48" hidden="false" customHeight="true" outlineLevel="0" collapsed="false">
      <c r="A285" s="4" t="n">
        <v>384</v>
      </c>
      <c r="B285" s="4" t="s">
        <v>1812</v>
      </c>
      <c r="C285" s="6" t="s">
        <v>1813</v>
      </c>
      <c r="D285" s="6"/>
      <c r="E285" s="6"/>
      <c r="F285" s="6" t="s">
        <v>1707</v>
      </c>
      <c r="G285" s="6" t="s">
        <v>1699</v>
      </c>
      <c r="H285" s="7" t="s">
        <v>1700</v>
      </c>
      <c r="I285" s="13" t="s">
        <v>28</v>
      </c>
      <c r="J285" s="6" t="s">
        <v>1708</v>
      </c>
      <c r="K285" s="6" t="s">
        <v>52</v>
      </c>
      <c r="L285" s="5" t="s">
        <v>1764</v>
      </c>
      <c r="M285" s="6" t="s">
        <v>1814</v>
      </c>
      <c r="N285" s="6" t="s">
        <v>1710</v>
      </c>
      <c r="O285" s="6" t="s">
        <v>52</v>
      </c>
      <c r="P285" s="6" t="s">
        <v>471</v>
      </c>
      <c r="Q285" s="8" t="n">
        <v>0.25</v>
      </c>
      <c r="R285" s="6"/>
      <c r="S285" s="6" t="s">
        <v>35</v>
      </c>
      <c r="T285" s="6" t="s">
        <v>543</v>
      </c>
      <c r="U285" s="8" t="n">
        <v>0.356</v>
      </c>
      <c r="V285" s="14" t="s">
        <v>1776</v>
      </c>
      <c r="W285" s="6" t="s">
        <v>1777</v>
      </c>
    </row>
    <row r="286" customFormat="false" ht="48" hidden="false" customHeight="true" outlineLevel="0" collapsed="false">
      <c r="A286" s="4" t="n">
        <v>385</v>
      </c>
      <c r="B286" s="4" t="s">
        <v>1815</v>
      </c>
      <c r="C286" s="6" t="s">
        <v>1816</v>
      </c>
      <c r="D286" s="6"/>
      <c r="E286" s="6"/>
      <c r="F286" s="6" t="s">
        <v>1803</v>
      </c>
      <c r="G286" s="6" t="s">
        <v>1699</v>
      </c>
      <c r="H286" s="7" t="s">
        <v>1700</v>
      </c>
      <c r="I286" s="13" t="s">
        <v>28</v>
      </c>
      <c r="J286" s="6" t="s">
        <v>1804</v>
      </c>
      <c r="K286" s="6" t="s">
        <v>52</v>
      </c>
      <c r="L286" s="5" t="s">
        <v>1764</v>
      </c>
      <c r="M286" s="6" t="s">
        <v>1817</v>
      </c>
      <c r="N286" s="6" t="s">
        <v>1710</v>
      </c>
      <c r="O286" s="6" t="s">
        <v>52</v>
      </c>
      <c r="P286" s="6" t="s">
        <v>381</v>
      </c>
      <c r="Q286" s="8" t="n">
        <v>0.467</v>
      </c>
      <c r="R286" s="6"/>
      <c r="S286" s="6" t="s">
        <v>35</v>
      </c>
      <c r="T286" s="6" t="s">
        <v>382</v>
      </c>
      <c r="U286" s="8" t="n">
        <v>0.433</v>
      </c>
      <c r="V286" s="14" t="s">
        <v>1776</v>
      </c>
      <c r="W286" s="6" t="s">
        <v>1777</v>
      </c>
    </row>
    <row r="287" customFormat="false" ht="48" hidden="false" customHeight="true" outlineLevel="0" collapsed="false">
      <c r="A287" s="4" t="n">
        <v>386</v>
      </c>
      <c r="B287" s="4" t="s">
        <v>1818</v>
      </c>
      <c r="C287" s="6" t="s">
        <v>1819</v>
      </c>
      <c r="D287" s="6"/>
      <c r="E287" s="6"/>
      <c r="F287" s="6" t="s">
        <v>1718</v>
      </c>
      <c r="G287" s="6" t="s">
        <v>1699</v>
      </c>
      <c r="H287" s="7" t="s">
        <v>1700</v>
      </c>
      <c r="I287" s="13" t="s">
        <v>28</v>
      </c>
      <c r="J287" s="6" t="s">
        <v>1719</v>
      </c>
      <c r="K287" s="6" t="s">
        <v>52</v>
      </c>
      <c r="L287" s="5" t="s">
        <v>1764</v>
      </c>
      <c r="M287" s="6" t="s">
        <v>1820</v>
      </c>
      <c r="N287" s="6" t="s">
        <v>1703</v>
      </c>
      <c r="O287" s="6" t="s">
        <v>52</v>
      </c>
      <c r="P287" s="6" t="s">
        <v>56</v>
      </c>
      <c r="Q287" s="8" t="n">
        <v>0.413</v>
      </c>
      <c r="R287" s="6"/>
      <c r="S287" s="6" t="s">
        <v>35</v>
      </c>
      <c r="T287" s="6" t="s">
        <v>57</v>
      </c>
      <c r="U287" s="8" t="n">
        <v>0.296</v>
      </c>
      <c r="V287" s="14" t="s">
        <v>1776</v>
      </c>
      <c r="W287" s="6" t="s">
        <v>1777</v>
      </c>
    </row>
    <row r="288" customFormat="false" ht="48" hidden="false" customHeight="true" outlineLevel="0" collapsed="false">
      <c r="A288" s="4" t="n">
        <v>387</v>
      </c>
      <c r="B288" s="4" t="s">
        <v>1821</v>
      </c>
      <c r="C288" s="6" t="s">
        <v>1822</v>
      </c>
      <c r="D288" s="6"/>
      <c r="E288" s="6"/>
      <c r="F288" s="6" t="s">
        <v>1770</v>
      </c>
      <c r="G288" s="6" t="s">
        <v>1699</v>
      </c>
      <c r="H288" s="7" t="s">
        <v>1700</v>
      </c>
      <c r="I288" s="13" t="s">
        <v>28</v>
      </c>
      <c r="J288" s="6" t="s">
        <v>1771</v>
      </c>
      <c r="K288" s="6" t="s">
        <v>52</v>
      </c>
      <c r="L288" s="5" t="s">
        <v>1764</v>
      </c>
      <c r="M288" s="6" t="s">
        <v>1823</v>
      </c>
      <c r="N288" s="6" t="s">
        <v>1766</v>
      </c>
      <c r="O288" s="6" t="s">
        <v>52</v>
      </c>
      <c r="P288" s="6" t="s">
        <v>56</v>
      </c>
      <c r="Q288" s="8" t="n">
        <v>0.167</v>
      </c>
      <c r="R288" s="6"/>
      <c r="S288" s="6" t="s">
        <v>35</v>
      </c>
      <c r="T288" s="6" t="s">
        <v>435</v>
      </c>
      <c r="U288" s="8" t="n">
        <v>0.289</v>
      </c>
      <c r="V288" s="14" t="s">
        <v>1776</v>
      </c>
      <c r="W288" s="6" t="s">
        <v>1777</v>
      </c>
    </row>
    <row r="289" customFormat="false" ht="48" hidden="false" customHeight="true" outlineLevel="0" collapsed="false">
      <c r="A289" s="4" t="n">
        <v>388</v>
      </c>
      <c r="B289" s="4" t="s">
        <v>1824</v>
      </c>
      <c r="C289" s="6" t="s">
        <v>1825</v>
      </c>
      <c r="D289" s="6"/>
      <c r="E289" s="6"/>
      <c r="F289" s="6" t="s">
        <v>1729</v>
      </c>
      <c r="G289" s="6" t="s">
        <v>1699</v>
      </c>
      <c r="H289" s="7" t="s">
        <v>1700</v>
      </c>
      <c r="I289" s="13" t="s">
        <v>28</v>
      </c>
      <c r="J289" s="6" t="s">
        <v>1730</v>
      </c>
      <c r="K289" s="6" t="s">
        <v>52</v>
      </c>
      <c r="L289" s="5" t="s">
        <v>1764</v>
      </c>
      <c r="M289" s="6" t="s">
        <v>1826</v>
      </c>
      <c r="N289" s="6" t="s">
        <v>1726</v>
      </c>
      <c r="O289" s="6" t="s">
        <v>52</v>
      </c>
      <c r="P289" s="6" t="s">
        <v>100</v>
      </c>
      <c r="Q289" s="8" t="n">
        <v>0.34</v>
      </c>
      <c r="R289" s="6"/>
      <c r="S289" s="6" t="s">
        <v>35</v>
      </c>
      <c r="T289" s="6" t="s">
        <v>311</v>
      </c>
      <c r="U289" s="8" t="n">
        <v>0.476</v>
      </c>
      <c r="V289" s="14" t="s">
        <v>1776</v>
      </c>
      <c r="W289" s="6" t="s">
        <v>1777</v>
      </c>
    </row>
    <row r="290" customFormat="false" ht="48" hidden="false" customHeight="true" outlineLevel="0" collapsed="false">
      <c r="A290" s="4" t="n">
        <v>389</v>
      </c>
      <c r="B290" s="4" t="s">
        <v>1827</v>
      </c>
      <c r="C290" s="6" t="s">
        <v>1828</v>
      </c>
      <c r="D290" s="6"/>
      <c r="E290" s="6"/>
      <c r="F290" s="6" t="s">
        <v>1757</v>
      </c>
      <c r="G290" s="6" t="s">
        <v>1699</v>
      </c>
      <c r="H290" s="7" t="s">
        <v>1700</v>
      </c>
      <c r="I290" s="13" t="s">
        <v>28</v>
      </c>
      <c r="J290" s="6" t="s">
        <v>1758</v>
      </c>
      <c r="K290" s="6" t="s">
        <v>52</v>
      </c>
      <c r="L290" s="5" t="s">
        <v>1764</v>
      </c>
      <c r="M290" s="6" t="s">
        <v>1829</v>
      </c>
      <c r="N290" s="6" t="s">
        <v>1726</v>
      </c>
      <c r="O290" s="6" t="s">
        <v>52</v>
      </c>
      <c r="P290" s="6" t="s">
        <v>132</v>
      </c>
      <c r="Q290" s="8" t="n">
        <v>0.5</v>
      </c>
      <c r="R290" s="6"/>
      <c r="S290" s="6" t="s">
        <v>35</v>
      </c>
      <c r="T290" s="6" t="s">
        <v>311</v>
      </c>
      <c r="U290" s="8" t="n">
        <v>0.421</v>
      </c>
      <c r="V290" s="10" t="s">
        <v>78</v>
      </c>
      <c r="W290" s="6" t="s">
        <v>1830</v>
      </c>
    </row>
    <row r="291" customFormat="false" ht="48" hidden="false" customHeight="true" outlineLevel="0" collapsed="false">
      <c r="A291" s="4" t="n">
        <v>390</v>
      </c>
      <c r="B291" s="4" t="s">
        <v>1831</v>
      </c>
      <c r="C291" s="6" t="s">
        <v>1832</v>
      </c>
      <c r="D291" s="6"/>
      <c r="E291" s="6"/>
      <c r="F291" s="6" t="s">
        <v>1743</v>
      </c>
      <c r="G291" s="6" t="s">
        <v>1699</v>
      </c>
      <c r="H291" s="7" t="s">
        <v>1700</v>
      </c>
      <c r="I291" s="13" t="s">
        <v>28</v>
      </c>
      <c r="J291" s="6" t="s">
        <v>1744</v>
      </c>
      <c r="K291" s="6" t="s">
        <v>52</v>
      </c>
      <c r="L291" s="5" t="s">
        <v>1764</v>
      </c>
      <c r="M291" s="6" t="s">
        <v>1833</v>
      </c>
      <c r="N291" s="6" t="s">
        <v>1726</v>
      </c>
      <c r="O291" s="6" t="s">
        <v>52</v>
      </c>
      <c r="P291" s="6" t="s">
        <v>100</v>
      </c>
      <c r="Q291" s="8" t="n">
        <v>0.383</v>
      </c>
      <c r="R291" s="6"/>
      <c r="S291" s="6" t="s">
        <v>35</v>
      </c>
      <c r="T291" s="6" t="s">
        <v>101</v>
      </c>
      <c r="U291" s="8" t="n">
        <v>0.396</v>
      </c>
      <c r="V291" s="14" t="s">
        <v>1776</v>
      </c>
      <c r="W291" s="6" t="s">
        <v>1777</v>
      </c>
    </row>
    <row r="292" customFormat="false" ht="48" hidden="false" customHeight="true" outlineLevel="0" collapsed="false">
      <c r="A292" s="4" t="n">
        <v>391</v>
      </c>
      <c r="B292" s="4" t="s">
        <v>1834</v>
      </c>
      <c r="C292" s="6" t="s">
        <v>1835</v>
      </c>
      <c r="D292" s="6"/>
      <c r="E292" s="6"/>
      <c r="F292" s="6" t="s">
        <v>1707</v>
      </c>
      <c r="G292" s="6" t="s">
        <v>1699</v>
      </c>
      <c r="H292" s="7" t="s">
        <v>1700</v>
      </c>
      <c r="I292" s="13" t="s">
        <v>28</v>
      </c>
      <c r="J292" s="6" t="s">
        <v>1708</v>
      </c>
      <c r="K292" s="6" t="s">
        <v>52</v>
      </c>
      <c r="L292" s="5" t="s">
        <v>1764</v>
      </c>
      <c r="M292" s="6" t="s">
        <v>1836</v>
      </c>
      <c r="N292" s="6" t="s">
        <v>1710</v>
      </c>
      <c r="O292" s="6" t="s">
        <v>52</v>
      </c>
      <c r="P292" s="6" t="s">
        <v>471</v>
      </c>
      <c r="Q292" s="8" t="n">
        <v>0.312</v>
      </c>
      <c r="R292" s="6"/>
      <c r="S292" s="6" t="s">
        <v>35</v>
      </c>
      <c r="T292" s="6" t="s">
        <v>543</v>
      </c>
      <c r="U292" s="8" t="n">
        <v>0.4</v>
      </c>
      <c r="V292" s="14" t="s">
        <v>1776</v>
      </c>
      <c r="W292" s="6" t="s">
        <v>1777</v>
      </c>
    </row>
    <row r="293" customFormat="false" ht="48" hidden="false" customHeight="true" outlineLevel="0" collapsed="false">
      <c r="A293" s="4" t="n">
        <v>392</v>
      </c>
      <c r="B293" s="4" t="s">
        <v>1837</v>
      </c>
      <c r="C293" s="6" t="s">
        <v>1838</v>
      </c>
      <c r="D293" s="6"/>
      <c r="E293" s="6"/>
      <c r="F293" s="6" t="s">
        <v>1743</v>
      </c>
      <c r="G293" s="6" t="s">
        <v>1699</v>
      </c>
      <c r="H293" s="7" t="s">
        <v>1700</v>
      </c>
      <c r="I293" s="13" t="s">
        <v>28</v>
      </c>
      <c r="J293" s="6" t="s">
        <v>1744</v>
      </c>
      <c r="K293" s="6" t="s">
        <v>52</v>
      </c>
      <c r="L293" s="5" t="s">
        <v>1764</v>
      </c>
      <c r="M293" s="6" t="s">
        <v>1839</v>
      </c>
      <c r="N293" s="6" t="s">
        <v>1726</v>
      </c>
      <c r="O293" s="6" t="s">
        <v>52</v>
      </c>
      <c r="P293" s="6" t="s">
        <v>100</v>
      </c>
      <c r="Q293" s="8" t="n">
        <v>0.475</v>
      </c>
      <c r="R293" s="6"/>
      <c r="S293" s="6" t="s">
        <v>35</v>
      </c>
      <c r="T293" s="6" t="s">
        <v>311</v>
      </c>
      <c r="U293" s="8" t="n">
        <v>0.459</v>
      </c>
      <c r="V293" s="14" t="s">
        <v>1776</v>
      </c>
      <c r="W293" s="6" t="s">
        <v>1777</v>
      </c>
    </row>
    <row r="294" customFormat="false" ht="48" hidden="false" customHeight="true" outlineLevel="0" collapsed="false">
      <c r="A294" s="4" t="n">
        <v>393</v>
      </c>
      <c r="B294" s="4" t="s">
        <v>1840</v>
      </c>
      <c r="C294" s="6" t="s">
        <v>1841</v>
      </c>
      <c r="D294" s="6"/>
      <c r="E294" s="6"/>
      <c r="F294" s="6" t="s">
        <v>1762</v>
      </c>
      <c r="G294" s="6" t="s">
        <v>1699</v>
      </c>
      <c r="H294" s="7" t="s">
        <v>1700</v>
      </c>
      <c r="I294" s="13" t="s">
        <v>28</v>
      </c>
      <c r="J294" s="6" t="s">
        <v>1763</v>
      </c>
      <c r="K294" s="6" t="s">
        <v>52</v>
      </c>
      <c r="L294" s="5" t="s">
        <v>1764</v>
      </c>
      <c r="M294" s="6" t="s">
        <v>1842</v>
      </c>
      <c r="N294" s="6" t="s">
        <v>1766</v>
      </c>
      <c r="O294" s="6" t="s">
        <v>52</v>
      </c>
      <c r="P294" s="6" t="s">
        <v>56</v>
      </c>
      <c r="Q294" s="8" t="n">
        <v>0.164</v>
      </c>
      <c r="R294" s="6"/>
      <c r="S294" s="6" t="s">
        <v>35</v>
      </c>
      <c r="T294" s="6" t="s">
        <v>1767</v>
      </c>
      <c r="U294" s="8" t="n">
        <v>0.222</v>
      </c>
      <c r="V294" s="14" t="s">
        <v>1776</v>
      </c>
      <c r="W294" s="6" t="s">
        <v>1777</v>
      </c>
    </row>
    <row r="295" customFormat="false" ht="48" hidden="false" customHeight="true" outlineLevel="0" collapsed="false">
      <c r="A295" s="4" t="n">
        <v>394</v>
      </c>
      <c r="B295" s="4" t="s">
        <v>1843</v>
      </c>
      <c r="C295" s="6" t="s">
        <v>1844</v>
      </c>
      <c r="D295" s="6"/>
      <c r="E295" s="6"/>
      <c r="F295" s="6" t="s">
        <v>1729</v>
      </c>
      <c r="G295" s="6" t="s">
        <v>1699</v>
      </c>
      <c r="H295" s="7" t="s">
        <v>1700</v>
      </c>
      <c r="I295" s="13" t="s">
        <v>28</v>
      </c>
      <c r="J295" s="6" t="s">
        <v>1730</v>
      </c>
      <c r="K295" s="6" t="s">
        <v>52</v>
      </c>
      <c r="L295" s="5" t="s">
        <v>1764</v>
      </c>
      <c r="M295" s="6" t="s">
        <v>1845</v>
      </c>
      <c r="N295" s="6" t="s">
        <v>1726</v>
      </c>
      <c r="O295" s="6" t="s">
        <v>52</v>
      </c>
      <c r="P295" s="6" t="s">
        <v>100</v>
      </c>
      <c r="Q295" s="8" t="n">
        <v>0.419</v>
      </c>
      <c r="R295" s="6"/>
      <c r="S295" s="6" t="s">
        <v>35</v>
      </c>
      <c r="T295" s="6" t="s">
        <v>311</v>
      </c>
      <c r="U295" s="8" t="n">
        <v>0.556</v>
      </c>
      <c r="V295" s="10" t="s">
        <v>625</v>
      </c>
      <c r="W295" s="6" t="s">
        <v>1846</v>
      </c>
    </row>
    <row r="296" customFormat="false" ht="48" hidden="false" customHeight="true" outlineLevel="0" collapsed="false">
      <c r="A296" s="4" t="n">
        <v>395</v>
      </c>
      <c r="B296" s="4" t="s">
        <v>1847</v>
      </c>
      <c r="C296" s="6" t="s">
        <v>1848</v>
      </c>
      <c r="D296" s="6"/>
      <c r="E296" s="6"/>
      <c r="F296" s="6" t="s">
        <v>1789</v>
      </c>
      <c r="G296" s="6" t="s">
        <v>1699</v>
      </c>
      <c r="H296" s="7" t="s">
        <v>1700</v>
      </c>
      <c r="I296" s="13" t="s">
        <v>28</v>
      </c>
      <c r="J296" s="6" t="s">
        <v>1790</v>
      </c>
      <c r="K296" s="6" t="s">
        <v>52</v>
      </c>
      <c r="L296" s="5" t="s">
        <v>1764</v>
      </c>
      <c r="M296" s="6" t="s">
        <v>1849</v>
      </c>
      <c r="N296" s="6" t="s">
        <v>1703</v>
      </c>
      <c r="O296" s="6" t="s">
        <v>52</v>
      </c>
      <c r="P296" s="6" t="s">
        <v>56</v>
      </c>
      <c r="Q296" s="8" t="n">
        <v>0.405</v>
      </c>
      <c r="R296" s="6"/>
      <c r="S296" s="6" t="s">
        <v>35</v>
      </c>
      <c r="T296" s="6" t="s">
        <v>57</v>
      </c>
      <c r="U296" s="8" t="n">
        <v>0.333</v>
      </c>
      <c r="V296" s="14" t="s">
        <v>1776</v>
      </c>
      <c r="W296" s="6" t="s">
        <v>1777</v>
      </c>
    </row>
    <row r="297" customFormat="false" ht="48" hidden="false" customHeight="true" outlineLevel="0" collapsed="false">
      <c r="A297" s="4" t="n">
        <v>396</v>
      </c>
      <c r="B297" s="4" t="s">
        <v>1850</v>
      </c>
      <c r="C297" s="6" t="s">
        <v>1851</v>
      </c>
      <c r="D297" s="6"/>
      <c r="E297" s="6"/>
      <c r="F297" s="6" t="s">
        <v>1803</v>
      </c>
      <c r="G297" s="6" t="s">
        <v>1699</v>
      </c>
      <c r="H297" s="7" t="s">
        <v>1700</v>
      </c>
      <c r="I297" s="13" t="s">
        <v>28</v>
      </c>
      <c r="J297" s="6" t="s">
        <v>1804</v>
      </c>
      <c r="K297" s="6" t="s">
        <v>52</v>
      </c>
      <c r="L297" s="5" t="s">
        <v>1764</v>
      </c>
      <c r="M297" s="6" t="s">
        <v>1852</v>
      </c>
      <c r="N297" s="6" t="s">
        <v>1710</v>
      </c>
      <c r="O297" s="6" t="s">
        <v>52</v>
      </c>
      <c r="P297" s="6" t="s">
        <v>381</v>
      </c>
      <c r="Q297" s="8" t="n">
        <v>0.333</v>
      </c>
      <c r="R297" s="6"/>
      <c r="S297" s="6" t="s">
        <v>35</v>
      </c>
      <c r="T297" s="6" t="s">
        <v>382</v>
      </c>
      <c r="U297" s="8" t="n">
        <v>0.375</v>
      </c>
      <c r="V297" s="14" t="s">
        <v>1776</v>
      </c>
      <c r="W297" s="6" t="s">
        <v>1777</v>
      </c>
    </row>
    <row r="298" customFormat="false" ht="48" hidden="false" customHeight="true" outlineLevel="0" collapsed="false">
      <c r="A298" s="4" t="n">
        <v>397</v>
      </c>
      <c r="B298" s="4" t="s">
        <v>1853</v>
      </c>
      <c r="C298" s="6" t="s">
        <v>1854</v>
      </c>
      <c r="D298" s="6"/>
      <c r="E298" s="6"/>
      <c r="F298" s="6" t="s">
        <v>1698</v>
      </c>
      <c r="G298" s="6" t="s">
        <v>1699</v>
      </c>
      <c r="H298" s="7" t="s">
        <v>1700</v>
      </c>
      <c r="I298" s="13" t="s">
        <v>28</v>
      </c>
      <c r="J298" s="6" t="s">
        <v>1701</v>
      </c>
      <c r="K298" s="6" t="s">
        <v>52</v>
      </c>
      <c r="L298" s="5" t="s">
        <v>1764</v>
      </c>
      <c r="M298" s="6" t="s">
        <v>1855</v>
      </c>
      <c r="N298" s="6" t="s">
        <v>1703</v>
      </c>
      <c r="O298" s="6" t="s">
        <v>52</v>
      </c>
      <c r="P298" s="6" t="s">
        <v>56</v>
      </c>
      <c r="Q298" s="8" t="n">
        <v>0.513</v>
      </c>
      <c r="R298" s="6" t="s">
        <v>56</v>
      </c>
      <c r="S298" s="6" t="s">
        <v>35</v>
      </c>
      <c r="T298" s="6" t="s">
        <v>57</v>
      </c>
      <c r="U298" s="8" t="n">
        <v>0.333</v>
      </c>
      <c r="V298" s="10" t="s">
        <v>78</v>
      </c>
      <c r="W298" s="5" t="s">
        <v>1856</v>
      </c>
    </row>
    <row r="299" customFormat="false" ht="48" hidden="false" customHeight="true" outlineLevel="0" collapsed="false">
      <c r="A299" s="4" t="n">
        <v>398</v>
      </c>
      <c r="B299" s="4" t="s">
        <v>1857</v>
      </c>
      <c r="C299" s="6" t="s">
        <v>1858</v>
      </c>
      <c r="D299" s="6"/>
      <c r="E299" s="6"/>
      <c r="F299" s="6" t="s">
        <v>1748</v>
      </c>
      <c r="G299" s="6" t="s">
        <v>1699</v>
      </c>
      <c r="H299" s="7" t="s">
        <v>1700</v>
      </c>
      <c r="I299" s="13" t="s">
        <v>28</v>
      </c>
      <c r="J299" s="6" t="s">
        <v>1749</v>
      </c>
      <c r="K299" s="6" t="s">
        <v>52</v>
      </c>
      <c r="L299" s="5" t="s">
        <v>1764</v>
      </c>
      <c r="M299" s="6" t="s">
        <v>1859</v>
      </c>
      <c r="N299" s="6" t="s">
        <v>1726</v>
      </c>
      <c r="O299" s="6" t="s">
        <v>52</v>
      </c>
      <c r="P299" s="6" t="s">
        <v>1163</v>
      </c>
      <c r="Q299" s="8" t="n">
        <v>0.524</v>
      </c>
      <c r="R299" s="6"/>
      <c r="S299" s="6" t="s">
        <v>35</v>
      </c>
      <c r="T299" s="6" t="s">
        <v>1164</v>
      </c>
      <c r="U299" s="8" t="n">
        <v>0.393</v>
      </c>
      <c r="V299" s="10" t="s">
        <v>78</v>
      </c>
      <c r="W299" s="6" t="s">
        <v>1860</v>
      </c>
    </row>
    <row r="300" customFormat="false" ht="48" hidden="false" customHeight="true" outlineLevel="0" collapsed="false">
      <c r="A300" s="4" t="n">
        <v>399</v>
      </c>
      <c r="B300" s="4" t="s">
        <v>1861</v>
      </c>
      <c r="C300" s="6" t="s">
        <v>1862</v>
      </c>
      <c r="D300" s="6"/>
      <c r="E300" s="6"/>
      <c r="F300" s="6" t="s">
        <v>1718</v>
      </c>
      <c r="G300" s="6" t="s">
        <v>1699</v>
      </c>
      <c r="H300" s="7" t="s">
        <v>1700</v>
      </c>
      <c r="I300" s="13" t="s">
        <v>28</v>
      </c>
      <c r="J300" s="6" t="s">
        <v>1719</v>
      </c>
      <c r="K300" s="6" t="s">
        <v>52</v>
      </c>
      <c r="L300" s="5" t="s">
        <v>1764</v>
      </c>
      <c r="M300" s="6" t="s">
        <v>1863</v>
      </c>
      <c r="N300" s="6" t="s">
        <v>1703</v>
      </c>
      <c r="O300" s="6" t="s">
        <v>52</v>
      </c>
      <c r="P300" s="6" t="s">
        <v>56</v>
      </c>
      <c r="Q300" s="8" t="n">
        <v>0.42</v>
      </c>
      <c r="R300" s="6"/>
      <c r="S300" s="6" t="s">
        <v>35</v>
      </c>
      <c r="T300" s="6" t="s">
        <v>57</v>
      </c>
      <c r="U300" s="8" t="n">
        <v>0.267</v>
      </c>
      <c r="V300" s="14" t="s">
        <v>1776</v>
      </c>
      <c r="W300" s="6" t="s">
        <v>1777</v>
      </c>
    </row>
    <row r="301" customFormat="false" ht="48" hidden="false" customHeight="true" outlineLevel="0" collapsed="false">
      <c r="A301" s="4" t="n">
        <v>400</v>
      </c>
      <c r="B301" s="4" t="s">
        <v>1864</v>
      </c>
      <c r="C301" s="6" t="s">
        <v>1865</v>
      </c>
      <c r="D301" s="6"/>
      <c r="E301" s="6"/>
      <c r="F301" s="6" t="s">
        <v>1734</v>
      </c>
      <c r="G301" s="6" t="s">
        <v>1699</v>
      </c>
      <c r="H301" s="7" t="s">
        <v>1700</v>
      </c>
      <c r="I301" s="13" t="s">
        <v>28</v>
      </c>
      <c r="J301" s="6" t="s">
        <v>1735</v>
      </c>
      <c r="K301" s="6" t="s">
        <v>52</v>
      </c>
      <c r="L301" s="5" t="s">
        <v>1764</v>
      </c>
      <c r="M301" s="6" t="s">
        <v>1866</v>
      </c>
      <c r="N301" s="6" t="s">
        <v>1703</v>
      </c>
      <c r="O301" s="6" t="s">
        <v>52</v>
      </c>
      <c r="P301" s="6" t="s">
        <v>56</v>
      </c>
      <c r="Q301" s="8" t="n">
        <v>0.405</v>
      </c>
      <c r="R301" s="6"/>
      <c r="S301" s="6" t="s">
        <v>35</v>
      </c>
      <c r="T301" s="6" t="s">
        <v>57</v>
      </c>
      <c r="U301" s="8" t="n">
        <v>0.333</v>
      </c>
      <c r="V301" s="14" t="s">
        <v>1776</v>
      </c>
      <c r="W301" s="6" t="s">
        <v>1777</v>
      </c>
    </row>
  </sheetData>
  <autoFilter ref="A1:W30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6.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4"/>
    <col collapsed="false" customWidth="true" hidden="false" outlineLevel="0" max="7" min="6" style="1" width="13"/>
  </cols>
  <sheetData>
    <row r="1" customFormat="false" ht="18" hidden="false" customHeight="true" outlineLevel="0" collapsed="false">
      <c r="A1" s="15" t="s">
        <v>1867</v>
      </c>
      <c r="B1" s="15" t="s">
        <v>1868</v>
      </c>
      <c r="C1" s="16"/>
      <c r="D1" s="16"/>
      <c r="E1" s="16"/>
    </row>
    <row r="2" customFormat="false" ht="18" hidden="false" customHeight="true" outlineLevel="0" collapsed="false">
      <c r="A2" s="17" t="s">
        <v>1869</v>
      </c>
      <c r="B2" s="16" t="n">
        <v>100</v>
      </c>
      <c r="C2" s="16"/>
      <c r="D2" s="16"/>
      <c r="E2" s="16"/>
    </row>
    <row r="3" customFormat="false" ht="18" hidden="false" customHeight="true" outlineLevel="0" collapsed="false">
      <c r="A3" s="17" t="s">
        <v>1870</v>
      </c>
      <c r="B3" s="16" t="n">
        <f aca="false">COUNTA(증강_300!$B:$B)-1</f>
        <v>300</v>
      </c>
      <c r="C3" s="16"/>
      <c r="D3" s="16"/>
      <c r="E3" s="16"/>
    </row>
    <row r="4" customFormat="false" ht="18" hidden="false" customHeight="true" outlineLevel="0" collapsed="false">
      <c r="A4" s="17" t="s">
        <v>1871</v>
      </c>
      <c r="B4" s="16" t="n">
        <f aca="false">B2+B3</f>
        <v>400</v>
      </c>
      <c r="C4" s="16"/>
      <c r="D4" s="16"/>
      <c r="E4" s="16"/>
    </row>
    <row r="5" customFormat="false" ht="16.5" hidden="false" customHeight="false" outlineLevel="0" collapsed="false">
      <c r="A5" s="16"/>
      <c r="B5" s="16"/>
      <c r="C5" s="16"/>
      <c r="D5" s="16"/>
      <c r="E5" s="16"/>
    </row>
    <row r="6" customFormat="false" ht="18" hidden="false" customHeight="true" outlineLevel="0" collapsed="false">
      <c r="A6" s="18" t="s">
        <v>7</v>
      </c>
      <c r="B6" s="15" t="s">
        <v>1872</v>
      </c>
      <c r="C6" s="15" t="s">
        <v>1873</v>
      </c>
      <c r="D6" s="15" t="s">
        <v>1874</v>
      </c>
      <c r="E6" s="15" t="s">
        <v>1875</v>
      </c>
    </row>
    <row r="7" customFormat="false" ht="18" hidden="false" customHeight="true" outlineLevel="0" collapsed="false">
      <c r="A7" s="16" t="s">
        <v>27</v>
      </c>
      <c r="B7" s="16" t="n">
        <f aca="false">COUNTIFS(증강_300!$H:$H,$A7,증강_300!$I:$I,"simple")</f>
        <v>13</v>
      </c>
      <c r="C7" s="16" t="n">
        <f aca="false">COUNTIFS(증강_300!$H:$H,$A7,증강_300!$I:$I,"medium")</f>
        <v>17</v>
      </c>
      <c r="D7" s="16" t="n">
        <f aca="false">COUNTIFS(증강_300!$H:$H,$A7,증강_300!$I:$I,"complex")</f>
        <v>13</v>
      </c>
      <c r="E7" s="16" t="n">
        <f aca="false">SUM(B7:D7)</f>
        <v>43</v>
      </c>
    </row>
    <row r="8" customFormat="false" ht="18" hidden="false" customHeight="true" outlineLevel="0" collapsed="false">
      <c r="A8" s="16" t="s">
        <v>1122</v>
      </c>
      <c r="B8" s="16" t="n">
        <f aca="false">COUNTIFS(증강_300!$H:$H,$A8,증강_300!$I:$I,"simple")</f>
        <v>13</v>
      </c>
      <c r="C8" s="16" t="n">
        <f aca="false">COUNTIFS(증강_300!$H:$H,$A8,증강_300!$I:$I,"medium")</f>
        <v>17</v>
      </c>
      <c r="D8" s="16" t="n">
        <f aca="false">COUNTIFS(증강_300!$H:$H,$A8,증강_300!$I:$I,"complex")</f>
        <v>13</v>
      </c>
      <c r="E8" s="16" t="n">
        <f aca="false">SUM(B8:D8)</f>
        <v>43</v>
      </c>
    </row>
    <row r="9" customFormat="false" ht="18" hidden="false" customHeight="true" outlineLevel="0" collapsed="false">
      <c r="A9" s="16" t="s">
        <v>359</v>
      </c>
      <c r="B9" s="16" t="n">
        <f aca="false">COUNTIFS(증강_300!$H:$H,$A9,증강_300!$I:$I,"simple")</f>
        <v>13</v>
      </c>
      <c r="C9" s="16" t="n">
        <f aca="false">COUNTIFS(증강_300!$H:$H,$A9,증강_300!$I:$I,"medium")</f>
        <v>17</v>
      </c>
      <c r="D9" s="16" t="n">
        <f aca="false">COUNTIFS(증강_300!$H:$H,$A9,증강_300!$I:$I,"complex")</f>
        <v>13</v>
      </c>
      <c r="E9" s="16" t="n">
        <f aca="false">SUM(B9:D9)</f>
        <v>43</v>
      </c>
    </row>
    <row r="10" customFormat="false" ht="18" hidden="false" customHeight="true" outlineLevel="0" collapsed="false">
      <c r="A10" s="16" t="s">
        <v>619</v>
      </c>
      <c r="B10" s="16" t="n">
        <f aca="false">COUNTIFS(증강_300!$H:$H,$A10,증강_300!$I:$I,"simple")</f>
        <v>13</v>
      </c>
      <c r="C10" s="16" t="n">
        <f aca="false">COUNTIFS(증강_300!$H:$H,$A10,증강_300!$I:$I,"medium")</f>
        <v>17</v>
      </c>
      <c r="D10" s="16" t="n">
        <f aca="false">COUNTIFS(증강_300!$H:$H,$A10,증강_300!$I:$I,"complex")</f>
        <v>13</v>
      </c>
      <c r="E10" s="16" t="n">
        <f aca="false">SUM(B10:D10)</f>
        <v>43</v>
      </c>
    </row>
    <row r="11" customFormat="false" ht="18" hidden="false" customHeight="true" outlineLevel="0" collapsed="false">
      <c r="A11" s="16" t="s">
        <v>882</v>
      </c>
      <c r="B11" s="16" t="n">
        <f aca="false">COUNTIFS(증강_300!$H:$H,$A11,증강_300!$I:$I,"simple")</f>
        <v>13</v>
      </c>
      <c r="C11" s="16" t="n">
        <f aca="false">COUNTIFS(증강_300!$H:$H,$A11,증강_300!$I:$I,"medium")</f>
        <v>17</v>
      </c>
      <c r="D11" s="16" t="n">
        <f aca="false">COUNTIFS(증강_300!$H:$H,$A11,증강_300!$I:$I,"complex")</f>
        <v>13</v>
      </c>
      <c r="E11" s="16" t="n">
        <f aca="false">SUM(B11:D11)</f>
        <v>43</v>
      </c>
    </row>
    <row r="12" customFormat="false" ht="18" hidden="false" customHeight="true" outlineLevel="0" collapsed="false">
      <c r="A12" s="16" t="s">
        <v>1427</v>
      </c>
      <c r="B12" s="16" t="n">
        <f aca="false">COUNTIFS(증강_300!$H:$H,$A12,증강_300!$I:$I,"simple")</f>
        <v>13</v>
      </c>
      <c r="C12" s="16" t="n">
        <f aca="false">COUNTIFS(증강_300!$H:$H,$A12,증강_300!$I:$I,"medium")</f>
        <v>17</v>
      </c>
      <c r="D12" s="16" t="n">
        <f aca="false">COUNTIFS(증강_300!$H:$H,$A12,증강_300!$I:$I,"complex")</f>
        <v>13</v>
      </c>
      <c r="E12" s="16" t="n">
        <f aca="false">SUM(B12:D12)</f>
        <v>43</v>
      </c>
    </row>
    <row r="13" customFormat="false" ht="18" hidden="false" customHeight="true" outlineLevel="0" collapsed="false">
      <c r="A13" s="16" t="s">
        <v>1700</v>
      </c>
      <c r="B13" s="16" t="n">
        <f aca="false">COUNTIFS(증강_300!$H:$H,$A13,증강_300!$I:$I,"simple")</f>
        <v>42</v>
      </c>
      <c r="C13" s="16" t="n">
        <f aca="false">COUNTIFS(증강_300!$H:$H,$A13,증강_300!$I:$I,"medium")</f>
        <v>0</v>
      </c>
      <c r="D13" s="16" t="n">
        <f aca="false">COUNTIFS(증강_300!$H:$H,$A13,증강_300!$I:$I,"complex")</f>
        <v>0</v>
      </c>
      <c r="E13" s="16" t="n">
        <f aca="false">SUM(B13:D13)</f>
        <v>42</v>
      </c>
    </row>
    <row r="14" customFormat="false" ht="18" hidden="false" customHeight="true" outlineLevel="0" collapsed="false">
      <c r="A14" s="19" t="s">
        <v>1875</v>
      </c>
      <c r="B14" s="19" t="n">
        <f aca="false">SUM(B7:B13)</f>
        <v>120</v>
      </c>
      <c r="C14" s="19" t="n">
        <f aca="false">SUM(C7:C13)</f>
        <v>102</v>
      </c>
      <c r="D14" s="19" t="n">
        <f aca="false">SUM(D7:D13)</f>
        <v>78</v>
      </c>
      <c r="E14" s="19" t="n">
        <f aca="false">SUM(E7:E13)</f>
        <v>300</v>
      </c>
    </row>
    <row r="15" customFormat="false" ht="39.55" hidden="false" customHeight="false" outlineLevel="0" collapsed="false">
      <c r="A15" s="20" t="s">
        <v>1876</v>
      </c>
      <c r="B15" s="16"/>
      <c r="C15" s="16"/>
      <c r="D15" s="16"/>
      <c r="E15" s="16"/>
    </row>
    <row r="16" customFormat="false" ht="18" hidden="false" customHeight="true" outlineLevel="0" collapsed="false">
      <c r="A16" s="15" t="s">
        <v>10</v>
      </c>
      <c r="B16" s="15" t="s">
        <v>1868</v>
      </c>
      <c r="C16" s="16"/>
      <c r="D16" s="16"/>
      <c r="E16" s="16"/>
    </row>
    <row r="17" customFormat="false" ht="18" hidden="false" customHeight="true" outlineLevel="0" collapsed="false">
      <c r="A17" s="16" t="s">
        <v>30</v>
      </c>
      <c r="B17" s="16" t="n">
        <f aca="false">COUNTIF(증강_300!$K:$K,$A17)</f>
        <v>154</v>
      </c>
      <c r="C17" s="16"/>
      <c r="D17" s="16"/>
      <c r="E17" s="16"/>
    </row>
    <row r="18" customFormat="false" ht="18" hidden="false" customHeight="true" outlineLevel="0" collapsed="false">
      <c r="A18" s="16" t="s">
        <v>52</v>
      </c>
      <c r="B18" s="16" t="n">
        <f aca="false">COUNTIF(증강_300!$K:$K,$A18)</f>
        <v>95</v>
      </c>
      <c r="C18" s="16"/>
      <c r="D18" s="16"/>
      <c r="E18" s="16"/>
    </row>
    <row r="19" customFormat="false" ht="18" hidden="false" customHeight="true" outlineLevel="0" collapsed="false">
      <c r="A19" s="16" t="s">
        <v>658</v>
      </c>
      <c r="B19" s="16" t="n">
        <f aca="false">COUNTIF(증강_300!$K:$K,$A19)</f>
        <v>25</v>
      </c>
      <c r="C19" s="16"/>
      <c r="D19" s="16"/>
      <c r="E19" s="16"/>
    </row>
    <row r="20" customFormat="false" ht="18" hidden="false" customHeight="true" outlineLevel="0" collapsed="false">
      <c r="A20" s="16" t="s">
        <v>64</v>
      </c>
      <c r="B20" s="16" t="n">
        <f aca="false">COUNTIF(증강_300!$K:$K,$A20)</f>
        <v>18</v>
      </c>
      <c r="C20" s="16"/>
      <c r="D20" s="16"/>
      <c r="E20" s="16"/>
    </row>
    <row r="21" customFormat="false" ht="18" hidden="false" customHeight="true" outlineLevel="0" collapsed="false">
      <c r="A21" s="16" t="s">
        <v>43</v>
      </c>
      <c r="B21" s="16" t="n">
        <f aca="false">COUNTIF(증강_300!$K:$K,$A21)</f>
        <v>8</v>
      </c>
      <c r="C21" s="16"/>
      <c r="D21" s="16"/>
      <c r="E21" s="16"/>
    </row>
    <row r="24" customFormat="false" ht="16.5" hidden="false" customHeight="false" outlineLevel="0" collapsed="false">
      <c r="A24" s="15" t="s">
        <v>1877</v>
      </c>
      <c r="B24" s="15" t="s">
        <v>1868</v>
      </c>
    </row>
    <row r="25" customFormat="false" ht="16.5" hidden="false" customHeight="false" outlineLevel="0" collapsed="false">
      <c r="A25" s="16" t="s">
        <v>37</v>
      </c>
      <c r="B25" s="16" t="n">
        <f aca="false">COUNTIF(증강_300!$V:$V,$A25)</f>
        <v>162</v>
      </c>
    </row>
    <row r="26" customFormat="false" ht="16.5" hidden="false" customHeight="false" outlineLevel="0" collapsed="false">
      <c r="A26" s="16" t="s">
        <v>58</v>
      </c>
      <c r="B26" s="16" t="n">
        <f aca="false">COUNTIF(증강_300!$V:$V,$A26)</f>
        <v>53</v>
      </c>
    </row>
    <row r="27" customFormat="false" ht="16.5" hidden="false" customHeight="false" outlineLevel="0" collapsed="false">
      <c r="A27" s="17" t="s">
        <v>78</v>
      </c>
      <c r="B27" s="16" t="n">
        <f aca="false">COUNTIF(증강_300!$V:$V,$A27)</f>
        <v>58</v>
      </c>
    </row>
    <row r="28" customFormat="false" ht="16.5" hidden="false" customHeight="false" outlineLevel="0" collapsed="false">
      <c r="A28" s="17" t="s">
        <v>625</v>
      </c>
      <c r="B28" s="16" t="n">
        <f aca="false">COUNTIF(증강_300!$V:$V,$A28)</f>
        <v>5</v>
      </c>
    </row>
    <row r="29" customFormat="false" ht="16.5" hidden="false" customHeight="false" outlineLevel="0" collapsed="false">
      <c r="A29" s="17" t="s">
        <v>1776</v>
      </c>
      <c r="B29" s="16" t="n">
        <f aca="false">COUNTIF(증강_300!$V:$V,$A29)</f>
        <v>22</v>
      </c>
    </row>
    <row r="30" customFormat="false" ht="16.5" hidden="false" customHeight="false" outlineLevel="0" collapsed="false">
      <c r="A30" s="19" t="s">
        <v>1875</v>
      </c>
      <c r="B30" s="19" t="n">
        <f aca="false">SUM(B25:B29)</f>
        <v>300</v>
      </c>
    </row>
    <row r="32" customFormat="false" ht="30.55" hidden="false" customHeight="false" outlineLevel="0" collapsed="false">
      <c r="A32" s="18" t="s">
        <v>1878</v>
      </c>
      <c r="B32" s="18" t="s">
        <v>37</v>
      </c>
      <c r="C32" s="18" t="s">
        <v>58</v>
      </c>
      <c r="D32" s="15" t="s">
        <v>1879</v>
      </c>
      <c r="E32" s="15" t="s">
        <v>625</v>
      </c>
      <c r="F32" s="15" t="s">
        <v>1776</v>
      </c>
      <c r="G32" s="15" t="s">
        <v>1875</v>
      </c>
    </row>
    <row r="33" customFormat="false" ht="16.5" hidden="false" customHeight="false" outlineLevel="0" collapsed="false">
      <c r="A33" s="16" t="s">
        <v>27</v>
      </c>
      <c r="B33" s="16" t="n">
        <f aca="false">COUNTIFS(증강_300!$H:$H,$A33,증강_300!$V:$V,B$32)</f>
        <v>27</v>
      </c>
      <c r="C33" s="16" t="n">
        <f aca="false">COUNTIFS(증강_300!$H:$H,$A33,증강_300!$V:$V,C$32)</f>
        <v>8</v>
      </c>
      <c r="D33" s="16" t="n">
        <f aca="false">COUNTIFS(증강_300!$H:$H,$A33,증강_300!$V:$V,D$32)</f>
        <v>8</v>
      </c>
      <c r="E33" s="16" t="n">
        <f aca="false">COUNTIFS(증강_300!$H:$H,$A33,증강_300!$V:$V,E$32)</f>
        <v>0</v>
      </c>
      <c r="F33" s="16" t="n">
        <f aca="false">COUNTIFS(증강_300!$H:$H,$A33,증강_300!$V:$V,F$32)</f>
        <v>0</v>
      </c>
      <c r="G33" s="16" t="n">
        <f aca="false">SUM(B33:F33)</f>
        <v>43</v>
      </c>
    </row>
    <row r="34" customFormat="false" ht="16.5" hidden="false" customHeight="false" outlineLevel="0" collapsed="false">
      <c r="A34" s="16" t="s">
        <v>1122</v>
      </c>
      <c r="B34" s="16" t="n">
        <f aca="false">COUNTIFS(증강_300!$H:$H,$A34,증강_300!$V:$V,B$32)</f>
        <v>21</v>
      </c>
      <c r="C34" s="16" t="n">
        <f aca="false">COUNTIFS(증강_300!$H:$H,$A34,증강_300!$V:$V,C$32)</f>
        <v>7</v>
      </c>
      <c r="D34" s="16" t="n">
        <f aca="false">COUNTIFS(증강_300!$H:$H,$A34,증강_300!$V:$V,D$32)</f>
        <v>14</v>
      </c>
      <c r="E34" s="16" t="n">
        <f aca="false">COUNTIFS(증강_300!$H:$H,$A34,증강_300!$V:$V,E$32)</f>
        <v>1</v>
      </c>
      <c r="F34" s="16" t="n">
        <f aca="false">COUNTIFS(증강_300!$H:$H,$A34,증강_300!$V:$V,F$32)</f>
        <v>0</v>
      </c>
      <c r="G34" s="16" t="n">
        <f aca="false">SUM(B34:F34)</f>
        <v>43</v>
      </c>
    </row>
    <row r="35" customFormat="false" ht="16.5" hidden="false" customHeight="false" outlineLevel="0" collapsed="false">
      <c r="A35" s="16" t="s">
        <v>359</v>
      </c>
      <c r="B35" s="16" t="n">
        <f aca="false">COUNTIFS(증강_300!$H:$H,$A35,증강_300!$V:$V,B$32)</f>
        <v>25</v>
      </c>
      <c r="C35" s="16" t="n">
        <f aca="false">COUNTIFS(증강_300!$H:$H,$A35,증강_300!$V:$V,C$32)</f>
        <v>9</v>
      </c>
      <c r="D35" s="16" t="n">
        <f aca="false">COUNTIFS(증강_300!$H:$H,$A35,증강_300!$V:$V,D$32)</f>
        <v>9</v>
      </c>
      <c r="E35" s="16" t="n">
        <f aca="false">COUNTIFS(증강_300!$H:$H,$A35,증강_300!$V:$V,E$32)</f>
        <v>0</v>
      </c>
      <c r="F35" s="16" t="n">
        <f aca="false">COUNTIFS(증강_300!$H:$H,$A35,증강_300!$V:$V,F$32)</f>
        <v>0</v>
      </c>
      <c r="G35" s="16" t="n">
        <f aca="false">SUM(B35:F35)</f>
        <v>43</v>
      </c>
    </row>
    <row r="36" customFormat="false" ht="16.5" hidden="false" customHeight="false" outlineLevel="0" collapsed="false">
      <c r="A36" s="16" t="s">
        <v>619</v>
      </c>
      <c r="B36" s="16" t="n">
        <f aca="false">COUNTIFS(증강_300!$H:$H,$A36,증강_300!$V:$V,B$32)</f>
        <v>27</v>
      </c>
      <c r="C36" s="16" t="n">
        <f aca="false">COUNTIFS(증강_300!$H:$H,$A36,증강_300!$V:$V,C$32)</f>
        <v>8</v>
      </c>
      <c r="D36" s="16" t="n">
        <f aca="false">COUNTIFS(증강_300!$H:$H,$A36,증강_300!$V:$V,D$32)</f>
        <v>7</v>
      </c>
      <c r="E36" s="16" t="n">
        <f aca="false">COUNTIFS(증강_300!$H:$H,$A36,증강_300!$V:$V,E$32)</f>
        <v>1</v>
      </c>
      <c r="F36" s="16" t="n">
        <f aca="false">COUNTIFS(증강_300!$H:$H,$A36,증강_300!$V:$V,F$32)</f>
        <v>0</v>
      </c>
      <c r="G36" s="16" t="n">
        <f aca="false">SUM(B36:F36)</f>
        <v>43</v>
      </c>
    </row>
    <row r="37" customFormat="false" ht="16.5" hidden="false" customHeight="false" outlineLevel="0" collapsed="false">
      <c r="A37" s="16" t="s">
        <v>882</v>
      </c>
      <c r="B37" s="16" t="n">
        <f aca="false">COUNTIFS(증강_300!$H:$H,$A37,증강_300!$V:$V,B$32)</f>
        <v>27</v>
      </c>
      <c r="C37" s="16" t="n">
        <f aca="false">COUNTIFS(증강_300!$H:$H,$A37,증강_300!$V:$V,C$32)</f>
        <v>8</v>
      </c>
      <c r="D37" s="16" t="n">
        <f aca="false">COUNTIFS(증강_300!$H:$H,$A37,증강_300!$V:$V,D$32)</f>
        <v>7</v>
      </c>
      <c r="E37" s="16" t="n">
        <f aca="false">COUNTIFS(증강_300!$H:$H,$A37,증강_300!$V:$V,E$32)</f>
        <v>1</v>
      </c>
      <c r="F37" s="16" t="n">
        <f aca="false">COUNTIFS(증강_300!$H:$H,$A37,증강_300!$V:$V,F$32)</f>
        <v>0</v>
      </c>
      <c r="G37" s="16" t="n">
        <f aca="false">SUM(B37:F37)</f>
        <v>43</v>
      </c>
    </row>
    <row r="38" customFormat="false" ht="16.5" hidden="false" customHeight="false" outlineLevel="0" collapsed="false">
      <c r="A38" s="16" t="s">
        <v>1427</v>
      </c>
      <c r="B38" s="16" t="n">
        <f aca="false">COUNTIFS(증강_300!$H:$H,$A38,증강_300!$V:$V,B$32)</f>
        <v>26</v>
      </c>
      <c r="C38" s="16" t="n">
        <f aca="false">COUNTIFS(증강_300!$H:$H,$A38,증강_300!$V:$V,C$32)</f>
        <v>9</v>
      </c>
      <c r="D38" s="16" t="n">
        <f aca="false">COUNTIFS(증강_300!$H:$H,$A38,증강_300!$V:$V,D$32)</f>
        <v>7</v>
      </c>
      <c r="E38" s="16" t="n">
        <f aca="false">COUNTIFS(증강_300!$H:$H,$A38,증강_300!$V:$V,E$32)</f>
        <v>1</v>
      </c>
      <c r="F38" s="16" t="n">
        <f aca="false">COUNTIFS(증강_300!$H:$H,$A38,증강_300!$V:$V,F$32)</f>
        <v>0</v>
      </c>
      <c r="G38" s="16" t="n">
        <f aca="false">SUM(B38:F38)</f>
        <v>43</v>
      </c>
    </row>
    <row r="39" customFormat="false" ht="16.5" hidden="false" customHeight="false" outlineLevel="0" collapsed="false">
      <c r="A39" s="16" t="s">
        <v>1700</v>
      </c>
      <c r="B39" s="16" t="n">
        <f aca="false">COUNTIFS(증강_300!$H:$H,$A39,증강_300!$V:$V,B$32)</f>
        <v>9</v>
      </c>
      <c r="C39" s="16" t="n">
        <f aca="false">COUNTIFS(증강_300!$H:$H,$A39,증강_300!$V:$V,C$32)</f>
        <v>4</v>
      </c>
      <c r="D39" s="16" t="n">
        <f aca="false">COUNTIFS(증강_300!$H:$H,$A39,증강_300!$V:$V,D$32)</f>
        <v>6</v>
      </c>
      <c r="E39" s="16" t="n">
        <f aca="false">COUNTIFS(증강_300!$H:$H,$A39,증강_300!$V:$V,E$32)</f>
        <v>1</v>
      </c>
      <c r="F39" s="16" t="n">
        <f aca="false">COUNTIFS(증강_300!$H:$H,$A39,증강_300!$V:$V,F$32)</f>
        <v>22</v>
      </c>
      <c r="G39" s="16" t="n">
        <f aca="false">SUM(B39:F39)</f>
        <v>42</v>
      </c>
    </row>
    <row r="40" customFormat="false" ht="16.5" hidden="false" customHeight="false" outlineLevel="0" collapsed="false">
      <c r="A40" s="19" t="s">
        <v>1875</v>
      </c>
      <c r="B40" s="19" t="n">
        <f aca="false">SUM(B33:B39)</f>
        <v>162</v>
      </c>
      <c r="C40" s="19" t="n">
        <f aca="false">SUM(C33:C39)</f>
        <v>53</v>
      </c>
      <c r="D40" s="19" t="n">
        <f aca="false">SUM(D33:D39)</f>
        <v>58</v>
      </c>
      <c r="E40" s="19" t="n">
        <f aca="false">SUM(E33:E39)</f>
        <v>5</v>
      </c>
      <c r="F40" s="19" t="n">
        <f aca="false">SUM(F33:F39)</f>
        <v>22</v>
      </c>
      <c r="G40" s="19" t="n">
        <f aca="false">SUM(G33:G39)</f>
        <v>300</v>
      </c>
    </row>
    <row r="42" customFormat="false" ht="30.55" hidden="false" customHeight="false" outlineLevel="0" collapsed="false">
      <c r="A42" s="15" t="s">
        <v>1880</v>
      </c>
      <c r="B42" s="18" t="s">
        <v>37</v>
      </c>
      <c r="C42" s="18" t="s">
        <v>58</v>
      </c>
      <c r="D42" s="15" t="s">
        <v>1879</v>
      </c>
      <c r="E42" s="15" t="s">
        <v>625</v>
      </c>
      <c r="F42" s="15" t="s">
        <v>1776</v>
      </c>
    </row>
    <row r="43" customFormat="false" ht="16.5" hidden="false" customHeight="false" outlineLevel="0" collapsed="false">
      <c r="A43" s="16" t="s">
        <v>28</v>
      </c>
      <c r="B43" s="16" t="n">
        <f aca="false">COUNTIFS(증강_300!$I:$I,$A43,증강_300!$V:$V,B$42)</f>
        <v>52</v>
      </c>
      <c r="C43" s="16" t="n">
        <f aca="false">COUNTIFS(증강_300!$I:$I,$A43,증강_300!$V:$V,C$42)</f>
        <v>18</v>
      </c>
      <c r="D43" s="16" t="n">
        <f aca="false">COUNTIFS(증강_300!$I:$I,$A43,증강_300!$V:$V,D$42)</f>
        <v>24</v>
      </c>
      <c r="E43" s="16" t="n">
        <f aca="false">COUNTIFS(증강_300!$I:$I,$A43,증강_300!$V:$V,E$42)</f>
        <v>4</v>
      </c>
      <c r="F43" s="16" t="n">
        <f aca="false">COUNTIFS(증강_300!$I:$I,$A43,증강_300!$V:$V,F$42)</f>
        <v>22</v>
      </c>
    </row>
    <row r="44" customFormat="false" ht="16.5" hidden="false" customHeight="false" outlineLevel="0" collapsed="false">
      <c r="A44" s="16" t="s">
        <v>142</v>
      </c>
      <c r="B44" s="16" t="n">
        <f aca="false">COUNTIFS(증강_300!$I:$I,$A44,증강_300!$V:$V,B$42)</f>
        <v>58</v>
      </c>
      <c r="C44" s="16" t="n">
        <f aca="false">COUNTIFS(증강_300!$I:$I,$A44,증강_300!$V:$V,C$42)</f>
        <v>19</v>
      </c>
      <c r="D44" s="16" t="n">
        <f aca="false">COUNTIFS(증강_300!$I:$I,$A44,증강_300!$V:$V,D$42)</f>
        <v>24</v>
      </c>
      <c r="E44" s="16" t="n">
        <f aca="false">COUNTIFS(증강_300!$I:$I,$A44,증강_300!$V:$V,E$42)</f>
        <v>1</v>
      </c>
      <c r="F44" s="16" t="n">
        <f aca="false">COUNTIFS(증강_300!$I:$I,$A44,증강_300!$V:$V,F$42)</f>
        <v>0</v>
      </c>
    </row>
    <row r="45" customFormat="false" ht="16.5" hidden="false" customHeight="false" outlineLevel="0" collapsed="false">
      <c r="A45" s="16" t="s">
        <v>267</v>
      </c>
      <c r="B45" s="16" t="n">
        <f aca="false">COUNTIFS(증강_300!$I:$I,$A45,증강_300!$V:$V,B$42)</f>
        <v>52</v>
      </c>
      <c r="C45" s="16" t="n">
        <f aca="false">COUNTIFS(증강_300!$I:$I,$A45,증강_300!$V:$V,C$42)</f>
        <v>16</v>
      </c>
      <c r="D45" s="16" t="n">
        <f aca="false">COUNTIFS(증강_300!$I:$I,$A45,증강_300!$V:$V,D$42)</f>
        <v>10</v>
      </c>
      <c r="E45" s="16" t="n">
        <f aca="false">COUNTIFS(증강_300!$I:$I,$A45,증강_300!$V:$V,E$42)</f>
        <v>0</v>
      </c>
      <c r="F45" s="16" t="n">
        <f aca="false">COUNTIFS(증강_300!$I:$I,$A45,증강_300!$V:$V,F$42)</f>
        <v>0</v>
      </c>
    </row>
    <row r="47" customFormat="false" ht="30.55" hidden="false" customHeight="false" outlineLevel="0" collapsed="false">
      <c r="A47" s="18" t="s">
        <v>1881</v>
      </c>
      <c r="B47" s="18" t="s">
        <v>37</v>
      </c>
      <c r="C47" s="18" t="s">
        <v>58</v>
      </c>
      <c r="D47" s="15" t="s">
        <v>1879</v>
      </c>
      <c r="E47" s="18" t="s">
        <v>1882</v>
      </c>
    </row>
    <row r="48" customFormat="false" ht="16.5" hidden="false" customHeight="false" outlineLevel="0" collapsed="false">
      <c r="A48" s="16" t="s">
        <v>1883</v>
      </c>
      <c r="B48" s="16" t="n">
        <f aca="false">COUNTIFS(증강_300!$O:$O,"*"&amp;$A48&amp;"*",증강_300!$V:$V,"train")</f>
        <v>3</v>
      </c>
      <c r="C48" s="16" t="n">
        <f aca="false">COUNTIFS(증강_300!$O:$O,"*"&amp;$A48&amp;"*",증강_300!$V:$V,"holdout")</f>
        <v>1</v>
      </c>
      <c r="D48" s="16" t="n">
        <f aca="false">COUNTIFS(증강_300!$O:$O,"*"&amp;$A48&amp;"*",증강_300!$V:$V,"보류_vendor100")</f>
        <v>1</v>
      </c>
      <c r="E48" s="16" t="n">
        <f aca="false">COUNTIF(증강_300!$O:$O,"*"&amp;$A48&amp;"*")</f>
        <v>5</v>
      </c>
    </row>
    <row r="49" customFormat="false" ht="16.5" hidden="false" customHeight="false" outlineLevel="0" collapsed="false">
      <c r="A49" s="16" t="s">
        <v>1884</v>
      </c>
      <c r="B49" s="16" t="n">
        <f aca="false">COUNTIFS(증강_300!$O:$O,"*"&amp;$A49&amp;"*",증강_300!$V:$V,"train")</f>
        <v>3</v>
      </c>
      <c r="C49" s="16" t="n">
        <f aca="false">COUNTIFS(증강_300!$O:$O,"*"&amp;$A49&amp;"*",증강_300!$V:$V,"holdout")</f>
        <v>1</v>
      </c>
      <c r="D49" s="16" t="n">
        <f aca="false">COUNTIFS(증강_300!$O:$O,"*"&amp;$A49&amp;"*",증강_300!$V:$V,"보류_vendor100")</f>
        <v>1</v>
      </c>
      <c r="E49" s="16" t="n">
        <f aca="false">COUNTIF(증강_300!$O:$O,"*"&amp;$A49&amp;"*")</f>
        <v>5</v>
      </c>
    </row>
    <row r="50" customFormat="false" ht="16.5" hidden="false" customHeight="false" outlineLevel="0" collapsed="false">
      <c r="A50" s="16" t="s">
        <v>1885</v>
      </c>
      <c r="B50" s="16" t="n">
        <f aca="false">COUNTIFS(증강_300!$O:$O,"*"&amp;$A50&amp;"*",증강_300!$V:$V,"train")</f>
        <v>12</v>
      </c>
      <c r="C50" s="16" t="n">
        <f aca="false">COUNTIFS(증강_300!$O:$O,"*"&amp;$A50&amp;"*",증강_300!$V:$V,"holdout")</f>
        <v>5</v>
      </c>
      <c r="D50" s="16" t="n">
        <f aca="false">COUNTIFS(증강_300!$O:$O,"*"&amp;$A50&amp;"*",증강_300!$V:$V,"보류_vendor100")</f>
        <v>5</v>
      </c>
      <c r="E50" s="16" t="n">
        <f aca="false">COUNTIF(증강_300!$O:$O,"*"&amp;$A50&amp;"*")</f>
        <v>22</v>
      </c>
    </row>
    <row r="51" customFormat="false" ht="16.5" hidden="false" customHeight="false" outlineLevel="0" collapsed="false">
      <c r="A51" s="16" t="s">
        <v>1886</v>
      </c>
      <c r="B51" s="16" t="n">
        <f aca="false">COUNTIFS(증강_300!$O:$O,"*"&amp;$A51&amp;"*",증강_300!$V:$V,"train")</f>
        <v>1</v>
      </c>
      <c r="C51" s="16" t="n">
        <f aca="false">COUNTIFS(증강_300!$O:$O,"*"&amp;$A51&amp;"*",증강_300!$V:$V,"holdout")</f>
        <v>1</v>
      </c>
      <c r="D51" s="16" t="n">
        <f aca="false">COUNTIFS(증강_300!$O:$O,"*"&amp;$A51&amp;"*",증강_300!$V:$V,"보류_vendor100")</f>
        <v>0</v>
      </c>
      <c r="E51" s="16" t="n">
        <f aca="false">COUNTIF(증강_300!$O:$O,"*"&amp;$A51&amp;"*")</f>
        <v>2</v>
      </c>
    </row>
    <row r="52" customFormat="false" ht="16.5" hidden="false" customHeight="false" outlineLevel="0" collapsed="false">
      <c r="A52" s="16" t="s">
        <v>1887</v>
      </c>
      <c r="B52" s="16" t="n">
        <f aca="false">COUNTIFS(증강_300!$O:$O,"*"&amp;$A52&amp;"*",증강_300!$V:$V,"train")</f>
        <v>5</v>
      </c>
      <c r="C52" s="16" t="n">
        <f aca="false">COUNTIFS(증강_300!$O:$O,"*"&amp;$A52&amp;"*",증강_300!$V:$V,"holdout")</f>
        <v>2</v>
      </c>
      <c r="D52" s="16" t="n">
        <f aca="false">COUNTIFS(증강_300!$O:$O,"*"&amp;$A52&amp;"*",증강_300!$V:$V,"보류_vendor100")</f>
        <v>3</v>
      </c>
      <c r="E52" s="16" t="n">
        <f aca="false">COUNTIF(증강_300!$O:$O,"*"&amp;$A52&amp;"*")</f>
        <v>10</v>
      </c>
    </row>
    <row r="53" customFormat="false" ht="16.5" hidden="false" customHeight="false" outlineLevel="0" collapsed="false">
      <c r="A53" s="16" t="s">
        <v>1888</v>
      </c>
      <c r="B53" s="16" t="n">
        <f aca="false">COUNTIFS(증강_300!$O:$O,"*"&amp;$A53&amp;"*",증강_300!$V:$V,"train")</f>
        <v>7</v>
      </c>
      <c r="C53" s="16" t="n">
        <f aca="false">COUNTIFS(증강_300!$O:$O,"*"&amp;$A53&amp;"*",증강_300!$V:$V,"holdout")</f>
        <v>1</v>
      </c>
      <c r="D53" s="16" t="n">
        <f aca="false">COUNTIFS(증강_300!$O:$O,"*"&amp;$A53&amp;"*",증강_300!$V:$V,"보류_vendor100")</f>
        <v>8</v>
      </c>
      <c r="E53" s="16" t="n">
        <f aca="false">COUNTIF(증강_300!$O:$O,"*"&amp;$A53&amp;"*")</f>
        <v>17</v>
      </c>
    </row>
    <row r="54" customFormat="false" ht="16.5" hidden="false" customHeight="false" outlineLevel="0" collapsed="false">
      <c r="A54" s="16" t="s">
        <v>1889</v>
      </c>
      <c r="B54" s="16" t="n">
        <f aca="false">COUNTIFS(증강_300!$O:$O,"*"&amp;$A54&amp;"*",증강_300!$V:$V,"train")</f>
        <v>8</v>
      </c>
      <c r="C54" s="16" t="n">
        <f aca="false">COUNTIFS(증강_300!$O:$O,"*"&amp;$A54&amp;"*",증강_300!$V:$V,"holdout")</f>
        <v>2</v>
      </c>
      <c r="D54" s="16" t="n">
        <f aca="false">COUNTIFS(증강_300!$O:$O,"*"&amp;$A54&amp;"*",증강_300!$V:$V,"보류_vendor100")</f>
        <v>2</v>
      </c>
      <c r="E54" s="16" t="n">
        <f aca="false">COUNTIF(증강_300!$O:$O,"*"&amp;$A54&amp;"*")</f>
        <v>12</v>
      </c>
    </row>
    <row r="55" customFormat="false" ht="16.5" hidden="false" customHeight="false" outlineLevel="0" collapsed="false">
      <c r="A55" s="16" t="s">
        <v>1890</v>
      </c>
      <c r="B55" s="16" t="n">
        <f aca="false">COUNTIFS(증강_300!$O:$O,"*"&amp;$A55&amp;"*",증강_300!$V:$V,"train")</f>
        <v>1</v>
      </c>
      <c r="C55" s="16" t="n">
        <f aca="false">COUNTIFS(증강_300!$O:$O,"*"&amp;$A55&amp;"*",증강_300!$V:$V,"holdout")</f>
        <v>1</v>
      </c>
      <c r="D55" s="16" t="n">
        <f aca="false">COUNTIFS(증강_300!$O:$O,"*"&amp;$A55&amp;"*",증강_300!$V:$V,"보류_vendor100")</f>
        <v>1</v>
      </c>
      <c r="E55" s="16" t="n">
        <f aca="false">COUNTIF(증강_300!$O:$O,"*"&amp;$A55&amp;"*")</f>
        <v>3</v>
      </c>
    </row>
    <row r="56" customFormat="false" ht="16.5" hidden="false" customHeight="false" outlineLevel="0" collapsed="false">
      <c r="A56" s="16" t="s">
        <v>64</v>
      </c>
      <c r="B56" s="16" t="n">
        <f aca="false">COUNTIFS(증강_300!$O:$O,"*"&amp;$A56&amp;"*",증강_300!$V:$V,"train")</f>
        <v>12</v>
      </c>
      <c r="C56" s="16" t="n">
        <f aca="false">COUNTIFS(증강_300!$O:$O,"*"&amp;$A56&amp;"*",증강_300!$V:$V,"holdout")</f>
        <v>3</v>
      </c>
      <c r="D56" s="16" t="n">
        <f aca="false">COUNTIFS(증강_300!$O:$O,"*"&amp;$A56&amp;"*",증강_300!$V:$V,"보류_vendor100")</f>
        <v>3</v>
      </c>
      <c r="E56" s="16" t="n">
        <f aca="false">COUNTIF(증강_300!$O:$O,"*"&amp;$A56&amp;"*")</f>
        <v>18</v>
      </c>
    </row>
    <row r="57" customFormat="false" ht="16.5" hidden="false" customHeight="false" outlineLevel="0" collapsed="false">
      <c r="A57" s="16" t="s">
        <v>1891</v>
      </c>
      <c r="B57" s="16" t="n">
        <f aca="false">COUNTIFS(증강_300!$O:$O,"*"&amp;$A57&amp;"*",증강_300!$V:$V,"train")</f>
        <v>2</v>
      </c>
      <c r="C57" s="16" t="n">
        <f aca="false">COUNTIFS(증강_300!$O:$O,"*"&amp;$A57&amp;"*",증강_300!$V:$V,"holdout")</f>
        <v>2</v>
      </c>
      <c r="D57" s="16" t="n">
        <f aca="false">COUNTIFS(증강_300!$O:$O,"*"&amp;$A57&amp;"*",증강_300!$V:$V,"보류_vendor100")</f>
        <v>1</v>
      </c>
      <c r="E57" s="16" t="n">
        <f aca="false">COUNTIF(증강_300!$O:$O,"*"&amp;$A57&amp;"*")</f>
        <v>5</v>
      </c>
    </row>
    <row r="58" customFormat="false" ht="16.5" hidden="false" customHeight="false" outlineLevel="0" collapsed="false">
      <c r="A58" s="16" t="s">
        <v>1892</v>
      </c>
      <c r="B58" s="16" t="n">
        <f aca="false">COUNTIFS(증강_300!$O:$O,"*"&amp;$A58&amp;"*",증강_300!$V:$V,"train")</f>
        <v>2</v>
      </c>
      <c r="C58" s="16" t="n">
        <f aca="false">COUNTIFS(증강_300!$O:$O,"*"&amp;$A58&amp;"*",증강_300!$V:$V,"holdout")</f>
        <v>1</v>
      </c>
      <c r="D58" s="16" t="n">
        <f aca="false">COUNTIFS(증강_300!$O:$O,"*"&amp;$A58&amp;"*",증강_300!$V:$V,"보류_vendor100")</f>
        <v>1</v>
      </c>
      <c r="E58" s="16" t="n">
        <f aca="false">COUNTIF(증강_300!$O:$O,"*"&amp;$A58&amp;"*")</f>
        <v>4</v>
      </c>
    </row>
    <row r="59" customFormat="false" ht="16.5" hidden="false" customHeight="false" outlineLevel="0" collapsed="false">
      <c r="A59" s="16" t="s">
        <v>363</v>
      </c>
      <c r="B59" s="16" t="n">
        <f aca="false">COUNTIFS(증강_300!$O:$O,"*"&amp;$A59&amp;"*",증강_300!$V:$V,"train")</f>
        <v>105</v>
      </c>
      <c r="C59" s="16" t="n">
        <f aca="false">COUNTIFS(증강_300!$O:$O,"*"&amp;$A59&amp;"*",증강_300!$V:$V,"holdout")</f>
        <v>34</v>
      </c>
      <c r="D59" s="16" t="n">
        <f aca="false">COUNTIFS(증강_300!$O:$O,"*"&amp;$A59&amp;"*",증강_300!$V:$V,"보류_vendor100")</f>
        <v>30</v>
      </c>
      <c r="E59" s="16" t="n">
        <f aca="false">COUNTIF(증강_300!$O:$O,"*"&amp;$A59&amp;"*")</f>
        <v>172</v>
      </c>
    </row>
    <row r="60" customFormat="false" ht="16.5" hidden="false" customHeight="false" outlineLevel="0" collapsed="false">
      <c r="A60" s="16" t="s">
        <v>33</v>
      </c>
      <c r="B60" s="16" t="n">
        <f aca="false">COUNTIFS(증강_300!$O:$O,"*"&amp;$A60&amp;"*",증강_300!$V:$V,"train")</f>
        <v>48</v>
      </c>
      <c r="C60" s="16" t="n">
        <f aca="false">COUNTIFS(증강_300!$O:$O,"*"&amp;$A60&amp;"*",증강_300!$V:$V,"holdout")</f>
        <v>15</v>
      </c>
      <c r="D60" s="16" t="n">
        <f aca="false">COUNTIFS(증강_300!$O:$O,"*"&amp;$A60&amp;"*",증강_300!$V:$V,"보류_vendor100")</f>
        <v>22</v>
      </c>
      <c r="E60" s="16" t="n">
        <f aca="false">COUNTIF(증강_300!$O:$O,"*"&amp;$A60&amp;"*")</f>
        <v>86</v>
      </c>
    </row>
    <row r="61" customFormat="false" ht="16.5" hidden="false" customHeight="false" outlineLevel="0" collapsed="false">
      <c r="A61" s="16" t="s">
        <v>1893</v>
      </c>
      <c r="B61" s="16" t="n">
        <f aca="false">COUNTIFS(증강_300!$O:$O,"*"&amp;$A61&amp;"*",증강_300!$V:$V,"train")</f>
        <v>40</v>
      </c>
      <c r="C61" s="16" t="n">
        <f aca="false">COUNTIFS(증강_300!$O:$O,"*"&amp;$A61&amp;"*",증강_300!$V:$V,"holdout")</f>
        <v>13</v>
      </c>
      <c r="D61" s="16" t="n">
        <f aca="false">COUNTIFS(증강_300!$O:$O,"*"&amp;$A61&amp;"*",증강_300!$V:$V,"보류_vendor100")</f>
        <v>12</v>
      </c>
      <c r="E61" s="16" t="n">
        <f aca="false">COUNTIF(증강_300!$O:$O,"*"&amp;$A61&amp;"*")</f>
        <v>65</v>
      </c>
    </row>
    <row r="62" customFormat="false" ht="16.5" hidden="false" customHeight="false" outlineLevel="0" collapsed="false">
      <c r="A62" s="16" t="s">
        <v>1894</v>
      </c>
      <c r="B62" s="16" t="n">
        <f aca="false">COUNTIFS(증강_300!$O:$O,"*"&amp;$A62&amp;"*",증강_300!$V:$V,"train")</f>
        <v>32</v>
      </c>
      <c r="C62" s="16" t="n">
        <f aca="false">COUNTIFS(증강_300!$O:$O,"*"&amp;$A62&amp;"*",증강_300!$V:$V,"holdout")</f>
        <v>12</v>
      </c>
      <c r="D62" s="16" t="n">
        <f aca="false">COUNTIFS(증강_300!$O:$O,"*"&amp;$A62&amp;"*",증강_300!$V:$V,"보류_vendor100")</f>
        <v>10</v>
      </c>
      <c r="E62" s="16" t="n">
        <f aca="false">COUNTIF(증강_300!$O:$O,"*"&amp;$A62&amp;"*")</f>
        <v>54</v>
      </c>
    </row>
    <row r="63" customFormat="false" ht="16.5" hidden="false" customHeight="false" outlineLevel="0" collapsed="false">
      <c r="A63" s="16" t="s">
        <v>52</v>
      </c>
      <c r="B63" s="16" t="n">
        <f aca="false">COUNTIFS(증강_300!$O:$O,"*"&amp;$A63&amp;"*",증강_300!$V:$V,"train")</f>
        <v>42</v>
      </c>
      <c r="C63" s="16" t="n">
        <f aca="false">COUNTIFS(증강_300!$O:$O,"*"&amp;$A63&amp;"*",증강_300!$V:$V,"holdout")</f>
        <v>15</v>
      </c>
      <c r="D63" s="16" t="n">
        <f aca="false">COUNTIFS(증강_300!$O:$O,"*"&amp;$A63&amp;"*",증강_300!$V:$V,"보류_vendor100")</f>
        <v>14</v>
      </c>
      <c r="E63" s="16" t="n">
        <f aca="false">COUNTIF(증강_300!$O:$O,"*"&amp;$A63&amp;"*")</f>
        <v>95</v>
      </c>
    </row>
    <row r="64" customFormat="false" ht="16.5" hidden="false" customHeight="false" outlineLevel="0" collapsed="false">
      <c r="A64" s="16" t="s">
        <v>658</v>
      </c>
      <c r="B64" s="16" t="n">
        <f aca="false">COUNTIFS(증강_300!$O:$O,"*"&amp;$A64&amp;"*",증강_300!$V:$V,"train")</f>
        <v>15</v>
      </c>
      <c r="C64" s="16" t="n">
        <f aca="false">COUNTIFS(증강_300!$O:$O,"*"&amp;$A64&amp;"*",증강_300!$V:$V,"holdout")</f>
        <v>6</v>
      </c>
      <c r="D64" s="16" t="n">
        <f aca="false">COUNTIFS(증강_300!$O:$O,"*"&amp;$A64&amp;"*",증강_300!$V:$V,"보류_vendor100")</f>
        <v>3</v>
      </c>
      <c r="E64" s="16" t="n">
        <f aca="false">COUNTIF(증강_300!$O:$O,"*"&amp;$A64&amp;"*")</f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8" activeCellId="0" sqref="B28"/>
    </sheetView>
  </sheetViews>
  <sheetFormatPr defaultColWidth="8.83203125" defaultRowHeight="16.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5"/>
  </cols>
  <sheetData>
    <row r="1" customFormat="false" ht="18" hidden="false" customHeight="true" outlineLevel="0" collapsed="false">
      <c r="A1" s="15" t="s">
        <v>1895</v>
      </c>
      <c r="B1" s="15" t="s">
        <v>1896</v>
      </c>
    </row>
    <row r="2" customFormat="false" ht="18" hidden="false" customHeight="true" outlineLevel="0" collapsed="false">
      <c r="A2" s="17" t="s">
        <v>1897</v>
      </c>
      <c r="B2" s="16" t="s">
        <v>1898</v>
      </c>
    </row>
    <row r="3" customFormat="false" ht="18" hidden="false" customHeight="true" outlineLevel="0" collapsed="false">
      <c r="A3" s="17" t="s">
        <v>1899</v>
      </c>
      <c r="B3" s="17" t="s">
        <v>1900</v>
      </c>
    </row>
    <row r="4" customFormat="false" ht="18" hidden="false" customHeight="true" outlineLevel="0" collapsed="false">
      <c r="A4" s="16" t="s">
        <v>1901</v>
      </c>
      <c r="B4" s="16" t="s">
        <v>1902</v>
      </c>
    </row>
    <row r="5" customFormat="false" ht="18" hidden="false" customHeight="true" outlineLevel="0" collapsed="false">
      <c r="A5" s="16" t="s">
        <v>1903</v>
      </c>
      <c r="B5" s="16" t="s">
        <v>1904</v>
      </c>
    </row>
    <row r="6" customFormat="false" ht="18" hidden="false" customHeight="true" outlineLevel="0" collapsed="false">
      <c r="A6" s="16" t="s">
        <v>1905</v>
      </c>
      <c r="B6" s="16" t="s">
        <v>1906</v>
      </c>
    </row>
    <row r="7" customFormat="false" ht="18" hidden="false" customHeight="true" outlineLevel="0" collapsed="false">
      <c r="A7" s="16" t="s">
        <v>1907</v>
      </c>
      <c r="B7" s="16" t="s">
        <v>1908</v>
      </c>
    </row>
    <row r="8" customFormat="false" ht="18" hidden="false" customHeight="true" outlineLevel="0" collapsed="false">
      <c r="A8" s="16" t="s">
        <v>1909</v>
      </c>
      <c r="B8" s="16" t="s">
        <v>1910</v>
      </c>
    </row>
    <row r="9" customFormat="false" ht="18" hidden="false" customHeight="true" outlineLevel="0" collapsed="false">
      <c r="A9" s="16" t="s">
        <v>1911</v>
      </c>
      <c r="B9" s="16" t="s">
        <v>1912</v>
      </c>
    </row>
    <row r="10" customFormat="false" ht="16.5" hidden="false" customHeight="false" outlineLevel="0" collapsed="false">
      <c r="A10" s="6" t="s">
        <v>1913</v>
      </c>
      <c r="B10" s="6" t="s">
        <v>1914</v>
      </c>
    </row>
    <row r="11" customFormat="false" ht="16.5" hidden="false" customHeight="false" outlineLevel="0" collapsed="false">
      <c r="A11" s="6" t="s">
        <v>1915</v>
      </c>
      <c r="B11" s="5" t="s">
        <v>1916</v>
      </c>
    </row>
    <row r="12" customFormat="false" ht="16.5" hidden="false" customHeight="false" outlineLevel="0" collapsed="false">
      <c r="A12" s="6" t="s">
        <v>1917</v>
      </c>
      <c r="B12" s="6" t="s">
        <v>1918</v>
      </c>
    </row>
    <row r="13" customFormat="false" ht="32.8" hidden="false" customHeight="false" outlineLevel="0" collapsed="false">
      <c r="A13" s="5" t="s">
        <v>1919</v>
      </c>
      <c r="B13" s="6" t="s">
        <v>1920</v>
      </c>
    </row>
    <row r="14" customFormat="false" ht="32.8" hidden="false" customHeight="false" outlineLevel="0" collapsed="false">
      <c r="A14" s="6" t="s">
        <v>1921</v>
      </c>
      <c r="B14" s="6" t="s">
        <v>1922</v>
      </c>
    </row>
    <row r="15" customFormat="false" ht="30.55" hidden="false" customHeight="false" outlineLevel="0" collapsed="false">
      <c r="A15" s="6" t="s">
        <v>1923</v>
      </c>
      <c r="B15" s="5" t="s">
        <v>1924</v>
      </c>
    </row>
    <row r="16" customFormat="false" ht="32.8" hidden="false" customHeight="false" outlineLevel="0" collapsed="false">
      <c r="A16" s="6" t="s">
        <v>1925</v>
      </c>
      <c r="B16" s="5" t="s">
        <v>1926</v>
      </c>
    </row>
    <row r="17" customFormat="false" ht="16.5" hidden="false" customHeight="false" outlineLevel="0" collapsed="false">
      <c r="A17" s="5" t="s">
        <v>1927</v>
      </c>
      <c r="B17" s="5" t="s">
        <v>1928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11"/>
    <col collapsed="false" customWidth="true" hidden="false" outlineLevel="0" max="5" min="5" style="1" width="50"/>
    <col collapsed="false" customWidth="true" hidden="false" outlineLevel="0" max="7" min="6" style="1" width="9"/>
    <col collapsed="false" customWidth="true" hidden="false" outlineLevel="0" max="8" min="8" style="1" width="20"/>
    <col collapsed="false" customWidth="true" hidden="false" outlineLevel="0" max="9" min="9" style="1" width="45"/>
    <col collapsed="false" customWidth="true" hidden="false" outlineLevel="0" max="10" min="10" style="1" width="10"/>
  </cols>
  <sheetData>
    <row r="1" customFormat="false" ht="30.55" hidden="false" customHeight="false" outlineLevel="0" collapsed="false">
      <c r="A1" s="2" t="s">
        <v>1</v>
      </c>
      <c r="B1" s="2" t="s">
        <v>1929</v>
      </c>
      <c r="C1" s="2" t="s">
        <v>2</v>
      </c>
      <c r="D1" s="3" t="s">
        <v>1930</v>
      </c>
      <c r="E1" s="3" t="s">
        <v>1931</v>
      </c>
      <c r="F1" s="3" t="s">
        <v>1932</v>
      </c>
      <c r="G1" s="2" t="s">
        <v>1933</v>
      </c>
      <c r="H1" s="2" t="s">
        <v>1934</v>
      </c>
      <c r="I1" s="2" t="s">
        <v>1935</v>
      </c>
      <c r="J1" s="2" t="s">
        <v>1936</v>
      </c>
    </row>
    <row r="2" customFormat="false" ht="17.15" hidden="false" customHeight="false" outlineLevel="0" collapsed="false">
      <c r="A2" s="6" t="s">
        <v>708</v>
      </c>
      <c r="B2" s="5" t="s">
        <v>78</v>
      </c>
      <c r="C2" s="5" t="s">
        <v>709</v>
      </c>
      <c r="D2" s="6" t="s">
        <v>662</v>
      </c>
      <c r="E2" s="5" t="s">
        <v>1937</v>
      </c>
      <c r="F2" s="8" t="n">
        <v>1</v>
      </c>
      <c r="G2" s="6" t="s">
        <v>662</v>
      </c>
      <c r="H2" s="6" t="s">
        <v>624</v>
      </c>
      <c r="I2" s="5" t="s">
        <v>1938</v>
      </c>
      <c r="J2" s="8" t="n">
        <v>0.476</v>
      </c>
    </row>
    <row r="3" customFormat="false" ht="17.15" hidden="false" customHeight="false" outlineLevel="0" collapsed="false">
      <c r="A3" s="6" t="s">
        <v>1266</v>
      </c>
      <c r="B3" s="5" t="s">
        <v>78</v>
      </c>
      <c r="C3" s="5" t="s">
        <v>1267</v>
      </c>
      <c r="D3" s="6" t="s">
        <v>1179</v>
      </c>
      <c r="E3" s="5" t="s">
        <v>1939</v>
      </c>
      <c r="F3" s="8" t="n">
        <v>1</v>
      </c>
      <c r="G3" s="6" t="s">
        <v>1179</v>
      </c>
      <c r="H3" s="6" t="s">
        <v>197</v>
      </c>
      <c r="I3" s="5" t="s">
        <v>1940</v>
      </c>
      <c r="J3" s="8" t="n">
        <v>0.222</v>
      </c>
    </row>
    <row r="4" customFormat="false" ht="17.15" hidden="false" customHeight="false" outlineLevel="0" collapsed="false">
      <c r="A4" s="6" t="s">
        <v>879</v>
      </c>
      <c r="B4" s="5" t="s">
        <v>78</v>
      </c>
      <c r="C4" s="5" t="s">
        <v>880</v>
      </c>
      <c r="D4" s="6" t="s">
        <v>695</v>
      </c>
      <c r="E4" s="5" t="s">
        <v>1941</v>
      </c>
      <c r="F4" s="8" t="n">
        <v>0.846</v>
      </c>
      <c r="G4" s="6"/>
      <c r="H4" s="6" t="s">
        <v>624</v>
      </c>
      <c r="I4" s="5" t="s">
        <v>1938</v>
      </c>
      <c r="J4" s="8" t="n">
        <v>0.389</v>
      </c>
    </row>
    <row r="5" customFormat="false" ht="17.15" hidden="false" customHeight="false" outlineLevel="0" collapsed="false">
      <c r="A5" s="6" t="s">
        <v>70</v>
      </c>
      <c r="B5" s="5" t="s">
        <v>78</v>
      </c>
      <c r="C5" s="5" t="s">
        <v>71</v>
      </c>
      <c r="D5" s="6" t="s">
        <v>77</v>
      </c>
      <c r="E5" s="5" t="s">
        <v>1942</v>
      </c>
      <c r="F5" s="8" t="n">
        <v>0.812</v>
      </c>
      <c r="G5" s="6"/>
      <c r="H5" s="6" t="s">
        <v>36</v>
      </c>
      <c r="I5" s="5" t="s">
        <v>1943</v>
      </c>
      <c r="J5" s="8" t="n">
        <v>0.25</v>
      </c>
    </row>
    <row r="6" customFormat="false" ht="17.15" hidden="false" customHeight="false" outlineLevel="0" collapsed="false">
      <c r="A6" s="6" t="s">
        <v>139</v>
      </c>
      <c r="B6" s="5" t="s">
        <v>78</v>
      </c>
      <c r="C6" s="5" t="s">
        <v>140</v>
      </c>
      <c r="D6" s="6" t="s">
        <v>147</v>
      </c>
      <c r="E6" s="5" t="s">
        <v>1944</v>
      </c>
      <c r="F6" s="8" t="n">
        <v>0.81</v>
      </c>
      <c r="G6" s="6"/>
      <c r="H6" s="6" t="s">
        <v>148</v>
      </c>
      <c r="I6" s="5" t="s">
        <v>1945</v>
      </c>
      <c r="J6" s="8" t="n">
        <v>0.226</v>
      </c>
    </row>
    <row r="7" customFormat="false" ht="32.8" hidden="false" customHeight="false" outlineLevel="0" collapsed="false">
      <c r="A7" s="6" t="s">
        <v>1250</v>
      </c>
      <c r="B7" s="5" t="s">
        <v>78</v>
      </c>
      <c r="C7" s="5" t="s">
        <v>1251</v>
      </c>
      <c r="D7" s="6" t="s">
        <v>1256</v>
      </c>
      <c r="E7" s="5" t="s">
        <v>1946</v>
      </c>
      <c r="F7" s="8" t="n">
        <v>0.725</v>
      </c>
      <c r="G7" s="6" t="s">
        <v>1256</v>
      </c>
      <c r="H7" s="6" t="s">
        <v>1257</v>
      </c>
      <c r="I7" s="5" t="s">
        <v>1947</v>
      </c>
      <c r="J7" s="8" t="n">
        <v>0.261</v>
      </c>
    </row>
    <row r="8" customFormat="false" ht="17.15" hidden="false" customHeight="false" outlineLevel="0" collapsed="false">
      <c r="A8" s="6" t="s">
        <v>958</v>
      </c>
      <c r="B8" s="5" t="s">
        <v>78</v>
      </c>
      <c r="C8" s="5" t="s">
        <v>959</v>
      </c>
      <c r="D8" s="6" t="s">
        <v>695</v>
      </c>
      <c r="E8" s="5" t="s">
        <v>1941</v>
      </c>
      <c r="F8" s="8" t="n">
        <v>0.688</v>
      </c>
      <c r="G8" s="6"/>
      <c r="H8" s="6" t="s">
        <v>964</v>
      </c>
      <c r="I8" s="5" t="s">
        <v>1948</v>
      </c>
      <c r="J8" s="8" t="n">
        <v>0.478</v>
      </c>
    </row>
    <row r="9" customFormat="false" ht="17.15" hidden="false" customHeight="false" outlineLevel="0" collapsed="false">
      <c r="A9" s="6" t="s">
        <v>1664</v>
      </c>
      <c r="B9" s="5" t="s">
        <v>78</v>
      </c>
      <c r="C9" s="5" t="s">
        <v>1665</v>
      </c>
      <c r="D9" s="6" t="s">
        <v>1670</v>
      </c>
      <c r="E9" s="5" t="s">
        <v>1949</v>
      </c>
      <c r="F9" s="8" t="n">
        <v>0.645</v>
      </c>
      <c r="G9" s="6"/>
      <c r="H9" s="6" t="s">
        <v>1457</v>
      </c>
      <c r="I9" s="5" t="s">
        <v>1950</v>
      </c>
      <c r="J9" s="8" t="n">
        <v>0.429</v>
      </c>
    </row>
    <row r="10" customFormat="false" ht="28.35" hidden="false" customHeight="false" outlineLevel="0" collapsed="false">
      <c r="A10" s="6" t="s">
        <v>1281</v>
      </c>
      <c r="B10" s="5" t="s">
        <v>78</v>
      </c>
      <c r="C10" s="5" t="s">
        <v>1282</v>
      </c>
      <c r="D10" s="6" t="s">
        <v>1196</v>
      </c>
      <c r="E10" s="5" t="s">
        <v>1951</v>
      </c>
      <c r="F10" s="8" t="n">
        <v>0.633</v>
      </c>
      <c r="G10" s="6"/>
      <c r="H10" s="6" t="s">
        <v>1198</v>
      </c>
      <c r="I10" s="5" t="s">
        <v>1952</v>
      </c>
      <c r="J10" s="8" t="n">
        <v>0.429</v>
      </c>
    </row>
    <row r="11" customFormat="false" ht="32.8" hidden="false" customHeight="false" outlineLevel="0" collapsed="false">
      <c r="A11" s="6" t="s">
        <v>94</v>
      </c>
      <c r="B11" s="5" t="s">
        <v>78</v>
      </c>
      <c r="C11" s="5" t="s">
        <v>95</v>
      </c>
      <c r="D11" s="6" t="s">
        <v>100</v>
      </c>
      <c r="E11" s="5" t="s">
        <v>1953</v>
      </c>
      <c r="F11" s="8" t="n">
        <v>0.625</v>
      </c>
      <c r="G11" s="6"/>
      <c r="H11" s="6" t="s">
        <v>101</v>
      </c>
      <c r="I11" s="6" t="s">
        <v>1954</v>
      </c>
      <c r="J11" s="8" t="n">
        <v>0.396</v>
      </c>
    </row>
    <row r="12" customFormat="false" ht="17.15" hidden="false" customHeight="false" outlineLevel="0" collapsed="false">
      <c r="A12" s="6" t="s">
        <v>1273</v>
      </c>
      <c r="B12" s="5" t="s">
        <v>78</v>
      </c>
      <c r="C12" s="5" t="s">
        <v>1274</v>
      </c>
      <c r="D12" s="6" t="s">
        <v>1279</v>
      </c>
      <c r="E12" s="5" t="s">
        <v>1955</v>
      </c>
      <c r="F12" s="8" t="n">
        <v>0.621</v>
      </c>
      <c r="G12" s="6" t="s">
        <v>1279</v>
      </c>
      <c r="H12" s="6" t="s">
        <v>197</v>
      </c>
      <c r="I12" s="5" t="s">
        <v>1940</v>
      </c>
      <c r="J12" s="8" t="n">
        <v>0.114</v>
      </c>
    </row>
    <row r="13" customFormat="false" ht="17.15" hidden="false" customHeight="false" outlineLevel="0" collapsed="false">
      <c r="A13" s="6" t="s">
        <v>676</v>
      </c>
      <c r="B13" s="5" t="s">
        <v>78</v>
      </c>
      <c r="C13" s="5" t="s">
        <v>677</v>
      </c>
      <c r="D13" s="6" t="s">
        <v>662</v>
      </c>
      <c r="E13" s="5" t="s">
        <v>1937</v>
      </c>
      <c r="F13" s="8" t="n">
        <v>0.619</v>
      </c>
      <c r="G13" s="6"/>
      <c r="H13" s="6" t="s">
        <v>624</v>
      </c>
      <c r="I13" s="5" t="s">
        <v>1938</v>
      </c>
      <c r="J13" s="8" t="n">
        <v>0.409</v>
      </c>
    </row>
    <row r="14" customFormat="false" ht="32.8" hidden="false" customHeight="false" outlineLevel="0" collapsed="false">
      <c r="A14" s="6" t="s">
        <v>211</v>
      </c>
      <c r="B14" s="5" t="s">
        <v>78</v>
      </c>
      <c r="C14" s="5" t="s">
        <v>212</v>
      </c>
      <c r="D14" s="6" t="s">
        <v>100</v>
      </c>
      <c r="E14" s="5" t="s">
        <v>1953</v>
      </c>
      <c r="F14" s="8" t="n">
        <v>0.614</v>
      </c>
      <c r="G14" s="6"/>
      <c r="H14" s="6" t="s">
        <v>101</v>
      </c>
      <c r="I14" s="6" t="s">
        <v>1954</v>
      </c>
      <c r="J14" s="8" t="n">
        <v>0.352</v>
      </c>
    </row>
    <row r="15" customFormat="false" ht="32.8" hidden="false" customHeight="false" outlineLevel="0" collapsed="false">
      <c r="A15" s="6" t="s">
        <v>1345</v>
      </c>
      <c r="B15" s="5" t="s">
        <v>78</v>
      </c>
      <c r="C15" s="6" t="s">
        <v>1346</v>
      </c>
      <c r="D15" s="6" t="s">
        <v>344</v>
      </c>
      <c r="E15" s="6" t="s">
        <v>1956</v>
      </c>
      <c r="F15" s="8" t="n">
        <v>0.608</v>
      </c>
      <c r="G15" s="6"/>
      <c r="H15" s="6" t="s">
        <v>1198</v>
      </c>
      <c r="I15" s="5" t="s">
        <v>1952</v>
      </c>
      <c r="J15" s="8" t="n">
        <v>0.222</v>
      </c>
    </row>
    <row r="16" customFormat="false" ht="32.8" hidden="false" customHeight="false" outlineLevel="0" collapsed="false">
      <c r="A16" s="6" t="s">
        <v>566</v>
      </c>
      <c r="B16" s="5" t="s">
        <v>78</v>
      </c>
      <c r="C16" s="6" t="s">
        <v>567</v>
      </c>
      <c r="D16" s="6" t="s">
        <v>244</v>
      </c>
      <c r="E16" s="5" t="s">
        <v>1957</v>
      </c>
      <c r="F16" s="8" t="n">
        <v>0.596</v>
      </c>
      <c r="G16" s="6"/>
      <c r="H16" s="6" t="s">
        <v>57</v>
      </c>
      <c r="I16" s="6" t="s">
        <v>1958</v>
      </c>
      <c r="J16" s="8" t="n">
        <v>0.222</v>
      </c>
    </row>
    <row r="17" customFormat="false" ht="17.15" hidden="false" customHeight="false" outlineLevel="0" collapsed="false">
      <c r="A17" s="6" t="s">
        <v>906</v>
      </c>
      <c r="B17" s="5" t="s">
        <v>78</v>
      </c>
      <c r="C17" s="5" t="s">
        <v>907</v>
      </c>
      <c r="D17" s="6" t="s">
        <v>695</v>
      </c>
      <c r="E17" s="5" t="s">
        <v>1941</v>
      </c>
      <c r="F17" s="8" t="n">
        <v>0.588</v>
      </c>
      <c r="G17" s="6"/>
      <c r="H17" s="6" t="s">
        <v>832</v>
      </c>
      <c r="I17" s="5" t="s">
        <v>1959</v>
      </c>
      <c r="J17" s="8" t="n">
        <v>0.304</v>
      </c>
    </row>
    <row r="18" customFormat="false" ht="32.8" hidden="false" customHeight="false" outlineLevel="0" collapsed="false">
      <c r="A18" s="6" t="s">
        <v>484</v>
      </c>
      <c r="B18" s="5" t="s">
        <v>78</v>
      </c>
      <c r="C18" s="5" t="s">
        <v>485</v>
      </c>
      <c r="D18" s="6" t="s">
        <v>251</v>
      </c>
      <c r="E18" s="5" t="s">
        <v>1960</v>
      </c>
      <c r="F18" s="8" t="n">
        <v>0.581</v>
      </c>
      <c r="G18" s="6"/>
      <c r="H18" s="6" t="s">
        <v>231</v>
      </c>
      <c r="I18" s="6" t="s">
        <v>1961</v>
      </c>
      <c r="J18" s="8" t="n">
        <v>0.155</v>
      </c>
    </row>
    <row r="19" customFormat="false" ht="32.8" hidden="false" customHeight="false" outlineLevel="0" collapsed="false">
      <c r="A19" s="6" t="s">
        <v>853</v>
      </c>
      <c r="B19" s="5" t="s">
        <v>78</v>
      </c>
      <c r="C19" s="6" t="s">
        <v>854</v>
      </c>
      <c r="D19" s="6" t="s">
        <v>582</v>
      </c>
      <c r="E19" s="6" t="s">
        <v>1962</v>
      </c>
      <c r="F19" s="8" t="n">
        <v>0.581</v>
      </c>
      <c r="G19" s="6"/>
      <c r="H19" s="6" t="s">
        <v>624</v>
      </c>
      <c r="I19" s="5" t="s">
        <v>1938</v>
      </c>
      <c r="J19" s="8" t="n">
        <v>0.225</v>
      </c>
    </row>
    <row r="20" customFormat="false" ht="17.15" hidden="false" customHeight="false" outlineLevel="0" collapsed="false">
      <c r="A20" s="6" t="s">
        <v>782</v>
      </c>
      <c r="B20" s="5" t="s">
        <v>78</v>
      </c>
      <c r="C20" s="5" t="s">
        <v>783</v>
      </c>
      <c r="D20" s="6" t="s">
        <v>662</v>
      </c>
      <c r="E20" s="5" t="s">
        <v>1937</v>
      </c>
      <c r="F20" s="8" t="n">
        <v>0.579</v>
      </c>
      <c r="G20" s="6"/>
      <c r="H20" s="6" t="s">
        <v>624</v>
      </c>
      <c r="I20" s="5" t="s">
        <v>1938</v>
      </c>
      <c r="J20" s="8" t="n">
        <v>0.421</v>
      </c>
    </row>
    <row r="21" customFormat="false" ht="32.8" hidden="false" customHeight="false" outlineLevel="0" collapsed="false">
      <c r="A21" s="6" t="s">
        <v>1054</v>
      </c>
      <c r="B21" s="5" t="s">
        <v>78</v>
      </c>
      <c r="C21" s="5" t="s">
        <v>1055</v>
      </c>
      <c r="D21" s="6" t="s">
        <v>993</v>
      </c>
      <c r="E21" s="5" t="s">
        <v>1963</v>
      </c>
      <c r="F21" s="8" t="n">
        <v>0.567</v>
      </c>
      <c r="G21" s="6"/>
      <c r="H21" s="6" t="s">
        <v>231</v>
      </c>
      <c r="I21" s="6" t="s">
        <v>1961</v>
      </c>
      <c r="J21" s="8" t="n">
        <v>0.375</v>
      </c>
    </row>
    <row r="22" customFormat="false" ht="17.15" hidden="false" customHeight="false" outlineLevel="0" collapsed="false">
      <c r="A22" s="6" t="s">
        <v>1424</v>
      </c>
      <c r="B22" s="5" t="s">
        <v>78</v>
      </c>
      <c r="C22" s="5" t="s">
        <v>1425</v>
      </c>
      <c r="D22" s="6" t="s">
        <v>1431</v>
      </c>
      <c r="E22" s="5" t="s">
        <v>1964</v>
      </c>
      <c r="F22" s="8" t="n">
        <v>0.562</v>
      </c>
      <c r="G22" s="6"/>
      <c r="H22" s="6" t="s">
        <v>918</v>
      </c>
      <c r="I22" s="5" t="s">
        <v>1965</v>
      </c>
      <c r="J22" s="8" t="n">
        <v>0.438</v>
      </c>
    </row>
    <row r="23" customFormat="false" ht="28.35" hidden="false" customHeight="false" outlineLevel="0" collapsed="false">
      <c r="A23" s="6" t="s">
        <v>1200</v>
      </c>
      <c r="B23" s="5" t="s">
        <v>78</v>
      </c>
      <c r="C23" s="5" t="s">
        <v>1201</v>
      </c>
      <c r="D23" s="6" t="s">
        <v>1207</v>
      </c>
      <c r="E23" s="5" t="s">
        <v>1966</v>
      </c>
      <c r="F23" s="8" t="n">
        <v>0.556</v>
      </c>
      <c r="G23" s="6"/>
      <c r="H23" s="6" t="s">
        <v>1198</v>
      </c>
      <c r="I23" s="5" t="s">
        <v>1952</v>
      </c>
      <c r="J23" s="8" t="n">
        <v>0.079</v>
      </c>
    </row>
    <row r="24" customFormat="false" ht="17.15" hidden="false" customHeight="false" outlineLevel="0" collapsed="false">
      <c r="A24" s="6" t="s">
        <v>733</v>
      </c>
      <c r="B24" s="5" t="s">
        <v>78</v>
      </c>
      <c r="C24" s="5" t="s">
        <v>734</v>
      </c>
      <c r="D24" s="6" t="s">
        <v>633</v>
      </c>
      <c r="E24" s="5" t="s">
        <v>1967</v>
      </c>
      <c r="F24" s="8" t="n">
        <v>0.545</v>
      </c>
      <c r="G24" s="6"/>
      <c r="H24" s="6" t="s">
        <v>624</v>
      </c>
      <c r="I24" s="5" t="s">
        <v>1938</v>
      </c>
      <c r="J24" s="8" t="n">
        <v>0.36</v>
      </c>
    </row>
    <row r="25" customFormat="false" ht="17.15" hidden="false" customHeight="false" outlineLevel="0" collapsed="false">
      <c r="A25" s="6" t="s">
        <v>356</v>
      </c>
      <c r="B25" s="5" t="s">
        <v>78</v>
      </c>
      <c r="C25" s="5" t="s">
        <v>357</v>
      </c>
      <c r="D25" s="6" t="s">
        <v>364</v>
      </c>
      <c r="E25" s="5" t="s">
        <v>1968</v>
      </c>
      <c r="F25" s="8" t="n">
        <v>0.538</v>
      </c>
      <c r="G25" s="6" t="s">
        <v>364</v>
      </c>
      <c r="H25" s="6" t="s">
        <v>365</v>
      </c>
      <c r="I25" s="5" t="s">
        <v>1969</v>
      </c>
      <c r="J25" s="8" t="n">
        <v>0.154</v>
      </c>
    </row>
    <row r="26" customFormat="false" ht="32.8" hidden="false" customHeight="false" outlineLevel="0" collapsed="false">
      <c r="A26" s="6" t="s">
        <v>383</v>
      </c>
      <c r="B26" s="5" t="s">
        <v>78</v>
      </c>
      <c r="C26" s="6" t="s">
        <v>384</v>
      </c>
      <c r="D26" s="6" t="s">
        <v>244</v>
      </c>
      <c r="E26" s="5" t="s">
        <v>1957</v>
      </c>
      <c r="F26" s="8" t="n">
        <v>0.532</v>
      </c>
      <c r="G26" s="6"/>
      <c r="H26" s="6" t="s">
        <v>57</v>
      </c>
      <c r="I26" s="6" t="s">
        <v>1958</v>
      </c>
      <c r="J26" s="8" t="n">
        <v>0.302</v>
      </c>
    </row>
    <row r="27" customFormat="false" ht="17.15" hidden="false" customHeight="false" outlineLevel="0" collapsed="false">
      <c r="A27" s="6" t="s">
        <v>987</v>
      </c>
      <c r="B27" s="5" t="s">
        <v>78</v>
      </c>
      <c r="C27" s="5" t="s">
        <v>988</v>
      </c>
      <c r="D27" s="6" t="s">
        <v>993</v>
      </c>
      <c r="E27" s="5" t="s">
        <v>1963</v>
      </c>
      <c r="F27" s="8" t="n">
        <v>0.529</v>
      </c>
      <c r="G27" s="6"/>
      <c r="H27" s="6" t="s">
        <v>624</v>
      </c>
      <c r="I27" s="5" t="s">
        <v>1938</v>
      </c>
      <c r="J27" s="8" t="n">
        <v>0.162</v>
      </c>
    </row>
    <row r="28" customFormat="false" ht="32.8" hidden="false" customHeight="false" outlineLevel="0" collapsed="false">
      <c r="A28" s="6" t="s">
        <v>125</v>
      </c>
      <c r="B28" s="5" t="s">
        <v>78</v>
      </c>
      <c r="C28" s="6" t="s">
        <v>126</v>
      </c>
      <c r="D28" s="6" t="s">
        <v>132</v>
      </c>
      <c r="E28" s="5" t="s">
        <v>1970</v>
      </c>
      <c r="F28" s="8" t="n">
        <v>0.524</v>
      </c>
      <c r="G28" s="6"/>
      <c r="H28" s="6" t="s">
        <v>101</v>
      </c>
      <c r="I28" s="6" t="s">
        <v>1954</v>
      </c>
      <c r="J28" s="8" t="n">
        <v>0.36</v>
      </c>
    </row>
    <row r="29" customFormat="false" ht="32.8" hidden="false" customHeight="false" outlineLevel="0" collapsed="false">
      <c r="A29" s="6" t="s">
        <v>312</v>
      </c>
      <c r="B29" s="5" t="s">
        <v>78</v>
      </c>
      <c r="C29" s="5" t="s">
        <v>313</v>
      </c>
      <c r="D29" s="6" t="s">
        <v>224</v>
      </c>
      <c r="E29" s="5" t="s">
        <v>1971</v>
      </c>
      <c r="F29" s="8" t="n">
        <v>0.524</v>
      </c>
      <c r="G29" s="6"/>
      <c r="H29" s="6" t="s">
        <v>318</v>
      </c>
      <c r="I29" s="5" t="s">
        <v>1972</v>
      </c>
      <c r="J29" s="8" t="n">
        <v>0.2</v>
      </c>
    </row>
    <row r="30" customFormat="false" ht="32.8" hidden="false" customHeight="false" outlineLevel="0" collapsed="false">
      <c r="A30" s="6" t="s">
        <v>1857</v>
      </c>
      <c r="B30" s="5" t="s">
        <v>78</v>
      </c>
      <c r="C30" s="6" t="s">
        <v>1858</v>
      </c>
      <c r="D30" s="6" t="s">
        <v>1163</v>
      </c>
      <c r="E30" s="6" t="s">
        <v>1973</v>
      </c>
      <c r="F30" s="8" t="n">
        <v>0.524</v>
      </c>
      <c r="G30" s="6"/>
      <c r="H30" s="6" t="s">
        <v>1164</v>
      </c>
      <c r="I30" s="6" t="s">
        <v>1974</v>
      </c>
      <c r="J30" s="8" t="n">
        <v>0.393</v>
      </c>
    </row>
    <row r="31" customFormat="false" ht="32.8" hidden="false" customHeight="false" outlineLevel="0" collapsed="false">
      <c r="A31" s="6" t="s">
        <v>1751</v>
      </c>
      <c r="B31" s="5" t="s">
        <v>78</v>
      </c>
      <c r="C31" s="6" t="s">
        <v>1752</v>
      </c>
      <c r="D31" s="6" t="s">
        <v>1154</v>
      </c>
      <c r="E31" s="6" t="s">
        <v>1975</v>
      </c>
      <c r="F31" s="8" t="n">
        <v>0.523</v>
      </c>
      <c r="G31" s="6"/>
      <c r="H31" s="6" t="s">
        <v>1155</v>
      </c>
      <c r="I31" s="5" t="s">
        <v>1976</v>
      </c>
      <c r="J31" s="8" t="n">
        <v>0.377</v>
      </c>
    </row>
    <row r="32" customFormat="false" ht="17.15" hidden="false" customHeight="false" outlineLevel="0" collapsed="false">
      <c r="A32" s="6" t="s">
        <v>1537</v>
      </c>
      <c r="B32" s="5" t="s">
        <v>78</v>
      </c>
      <c r="C32" s="5" t="s">
        <v>1538</v>
      </c>
      <c r="D32" s="6" t="s">
        <v>1480</v>
      </c>
      <c r="E32" s="5" t="s">
        <v>1977</v>
      </c>
      <c r="F32" s="8" t="n">
        <v>0.522</v>
      </c>
      <c r="G32" s="6"/>
      <c r="H32" s="6" t="s">
        <v>1481</v>
      </c>
      <c r="I32" s="5" t="s">
        <v>1978</v>
      </c>
      <c r="J32" s="8" t="n">
        <v>0.37</v>
      </c>
    </row>
    <row r="33" customFormat="false" ht="17.15" hidden="false" customHeight="false" outlineLevel="0" collapsed="false">
      <c r="A33" s="6" t="s">
        <v>727</v>
      </c>
      <c r="B33" s="5" t="s">
        <v>78</v>
      </c>
      <c r="C33" s="5" t="s">
        <v>728</v>
      </c>
      <c r="D33" s="6" t="s">
        <v>641</v>
      </c>
      <c r="E33" s="5" t="s">
        <v>1979</v>
      </c>
      <c r="F33" s="8" t="n">
        <v>0.52</v>
      </c>
      <c r="G33" s="6"/>
      <c r="H33" s="6" t="s">
        <v>675</v>
      </c>
      <c r="I33" s="5" t="s">
        <v>1980</v>
      </c>
      <c r="J33" s="8" t="n">
        <v>0.167</v>
      </c>
    </row>
    <row r="34" customFormat="false" ht="28.35" hidden="false" customHeight="false" outlineLevel="0" collapsed="false">
      <c r="A34" s="6" t="s">
        <v>1525</v>
      </c>
      <c r="B34" s="5" t="s">
        <v>78</v>
      </c>
      <c r="C34" s="5" t="s">
        <v>1526</v>
      </c>
      <c r="D34" s="6" t="s">
        <v>1444</v>
      </c>
      <c r="E34" s="5" t="s">
        <v>1981</v>
      </c>
      <c r="F34" s="8" t="n">
        <v>0.517</v>
      </c>
      <c r="G34" s="6" t="s">
        <v>1444</v>
      </c>
      <c r="H34" s="6" t="s">
        <v>1530</v>
      </c>
      <c r="I34" s="5" t="s">
        <v>1982</v>
      </c>
      <c r="J34" s="8" t="n">
        <v>0.25</v>
      </c>
    </row>
    <row r="35" customFormat="false" ht="32.8" hidden="false" customHeight="false" outlineLevel="0" collapsed="false">
      <c r="A35" s="6" t="s">
        <v>273</v>
      </c>
      <c r="B35" s="5" t="s">
        <v>78</v>
      </c>
      <c r="C35" s="5" t="s">
        <v>274</v>
      </c>
      <c r="D35" s="6" t="s">
        <v>280</v>
      </c>
      <c r="E35" s="5" t="s">
        <v>1983</v>
      </c>
      <c r="F35" s="8" t="n">
        <v>0.514</v>
      </c>
      <c r="G35" s="6" t="s">
        <v>280</v>
      </c>
      <c r="H35" s="6" t="s">
        <v>281</v>
      </c>
      <c r="I35" s="5" t="s">
        <v>1984</v>
      </c>
      <c r="J35" s="8" t="n">
        <v>0.231</v>
      </c>
    </row>
    <row r="36" customFormat="false" ht="32.8" hidden="false" customHeight="false" outlineLevel="0" collapsed="false">
      <c r="A36" s="6" t="s">
        <v>1853</v>
      </c>
      <c r="B36" s="5" t="s">
        <v>78</v>
      </c>
      <c r="C36" s="6" t="s">
        <v>1854</v>
      </c>
      <c r="D36" s="6" t="s">
        <v>56</v>
      </c>
      <c r="E36" s="6" t="s">
        <v>1985</v>
      </c>
      <c r="F36" s="8" t="n">
        <v>0.513</v>
      </c>
      <c r="G36" s="6" t="s">
        <v>56</v>
      </c>
      <c r="H36" s="6" t="s">
        <v>57</v>
      </c>
      <c r="I36" s="6" t="s">
        <v>1958</v>
      </c>
      <c r="J36" s="8" t="n">
        <v>0.333</v>
      </c>
    </row>
    <row r="37" customFormat="false" ht="32.8" hidden="false" customHeight="false" outlineLevel="0" collapsed="false">
      <c r="A37" s="6" t="s">
        <v>1737</v>
      </c>
      <c r="B37" s="5" t="s">
        <v>78</v>
      </c>
      <c r="C37" s="6" t="s">
        <v>1738</v>
      </c>
      <c r="D37" s="6" t="s">
        <v>56</v>
      </c>
      <c r="E37" s="6" t="s">
        <v>1985</v>
      </c>
      <c r="F37" s="8" t="n">
        <v>0.512</v>
      </c>
      <c r="G37" s="6" t="s">
        <v>56</v>
      </c>
      <c r="H37" s="6" t="s">
        <v>57</v>
      </c>
      <c r="I37" s="6" t="s">
        <v>1958</v>
      </c>
      <c r="J37" s="8" t="n">
        <v>0.296</v>
      </c>
    </row>
    <row r="38" customFormat="false" ht="32.8" hidden="false" customHeight="false" outlineLevel="0" collapsed="false">
      <c r="A38" s="6" t="s">
        <v>549</v>
      </c>
      <c r="B38" s="5" t="s">
        <v>78</v>
      </c>
      <c r="C38" s="5" t="s">
        <v>550</v>
      </c>
      <c r="D38" s="6" t="s">
        <v>251</v>
      </c>
      <c r="E38" s="5" t="s">
        <v>1960</v>
      </c>
      <c r="F38" s="8" t="n">
        <v>0.511</v>
      </c>
      <c r="G38" s="6"/>
      <c r="H38" s="6" t="s">
        <v>402</v>
      </c>
      <c r="I38" s="5" t="s">
        <v>1986</v>
      </c>
      <c r="J38" s="8" t="n">
        <v>0.133</v>
      </c>
    </row>
    <row r="39" customFormat="false" ht="32.8" hidden="false" customHeight="false" outlineLevel="0" collapsed="false">
      <c r="A39" s="6" t="s">
        <v>1696</v>
      </c>
      <c r="B39" s="5" t="s">
        <v>78</v>
      </c>
      <c r="C39" s="6" t="s">
        <v>1697</v>
      </c>
      <c r="D39" s="6" t="s">
        <v>56</v>
      </c>
      <c r="E39" s="6" t="s">
        <v>1985</v>
      </c>
      <c r="F39" s="8" t="n">
        <v>0.511</v>
      </c>
      <c r="G39" s="6" t="s">
        <v>56</v>
      </c>
      <c r="H39" s="6" t="s">
        <v>57</v>
      </c>
      <c r="I39" s="6" t="s">
        <v>1958</v>
      </c>
      <c r="J39" s="8" t="n">
        <v>0.267</v>
      </c>
    </row>
    <row r="40" customFormat="false" ht="32.8" hidden="false" customHeight="false" outlineLevel="0" collapsed="false">
      <c r="A40" s="6" t="s">
        <v>1147</v>
      </c>
      <c r="B40" s="5" t="s">
        <v>78</v>
      </c>
      <c r="C40" s="5" t="s">
        <v>1148</v>
      </c>
      <c r="D40" s="6" t="s">
        <v>1154</v>
      </c>
      <c r="E40" s="6" t="s">
        <v>1975</v>
      </c>
      <c r="F40" s="8" t="n">
        <v>0.51</v>
      </c>
      <c r="G40" s="6" t="s">
        <v>1154</v>
      </c>
      <c r="H40" s="6" t="s">
        <v>1155</v>
      </c>
      <c r="I40" s="5" t="s">
        <v>1976</v>
      </c>
      <c r="J40" s="8" t="n">
        <v>0.356</v>
      </c>
    </row>
    <row r="41" customFormat="false" ht="32.8" hidden="false" customHeight="false" outlineLevel="0" collapsed="false">
      <c r="A41" s="6" t="s">
        <v>1048</v>
      </c>
      <c r="B41" s="5" t="s">
        <v>78</v>
      </c>
      <c r="C41" s="5" t="s">
        <v>1049</v>
      </c>
      <c r="D41" s="6" t="s">
        <v>310</v>
      </c>
      <c r="E41" s="5" t="s">
        <v>1987</v>
      </c>
      <c r="F41" s="8" t="n">
        <v>0.508</v>
      </c>
      <c r="G41" s="6"/>
      <c r="H41" s="6" t="s">
        <v>311</v>
      </c>
      <c r="I41" s="6" t="s">
        <v>1988</v>
      </c>
      <c r="J41" s="8" t="n">
        <v>0.392</v>
      </c>
    </row>
    <row r="42" customFormat="false" ht="32.8" hidden="false" customHeight="false" outlineLevel="0" collapsed="false">
      <c r="A42" s="6" t="s">
        <v>588</v>
      </c>
      <c r="B42" s="5" t="s">
        <v>78</v>
      </c>
      <c r="C42" s="5" t="s">
        <v>589</v>
      </c>
      <c r="D42" s="6" t="s">
        <v>593</v>
      </c>
      <c r="E42" s="5" t="s">
        <v>1989</v>
      </c>
      <c r="F42" s="8" t="n">
        <v>0.5</v>
      </c>
      <c r="G42" s="6"/>
      <c r="H42" s="6" t="s">
        <v>231</v>
      </c>
      <c r="I42" s="6" t="s">
        <v>1961</v>
      </c>
      <c r="J42" s="8" t="n">
        <v>0.149</v>
      </c>
    </row>
    <row r="43" customFormat="false" ht="17.15" hidden="false" customHeight="false" outlineLevel="0" collapsed="false">
      <c r="A43" s="6" t="s">
        <v>886</v>
      </c>
      <c r="B43" s="5" t="s">
        <v>78</v>
      </c>
      <c r="C43" s="5" t="s">
        <v>887</v>
      </c>
      <c r="D43" s="6" t="s">
        <v>891</v>
      </c>
      <c r="E43" s="5" t="s">
        <v>1990</v>
      </c>
      <c r="F43" s="8" t="n">
        <v>0.5</v>
      </c>
      <c r="G43" s="6"/>
      <c r="H43" s="6" t="s">
        <v>675</v>
      </c>
      <c r="I43" s="5" t="s">
        <v>1980</v>
      </c>
      <c r="J43" s="8" t="n">
        <v>0.44</v>
      </c>
    </row>
    <row r="44" customFormat="false" ht="28.35" hidden="false" customHeight="false" outlineLevel="0" collapsed="false">
      <c r="A44" s="6" t="s">
        <v>1288</v>
      </c>
      <c r="B44" s="5" t="s">
        <v>78</v>
      </c>
      <c r="C44" s="5" t="s">
        <v>1289</v>
      </c>
      <c r="D44" s="6" t="s">
        <v>1293</v>
      </c>
      <c r="E44" s="5" t="s">
        <v>1991</v>
      </c>
      <c r="F44" s="8" t="n">
        <v>0.5</v>
      </c>
      <c r="G44" s="6"/>
      <c r="H44" s="6" t="s">
        <v>1294</v>
      </c>
      <c r="I44" s="5" t="s">
        <v>1992</v>
      </c>
      <c r="J44" s="8" t="n">
        <v>0.13</v>
      </c>
    </row>
    <row r="45" customFormat="false" ht="28.35" hidden="false" customHeight="false" outlineLevel="0" collapsed="false">
      <c r="A45" s="6" t="s">
        <v>1827</v>
      </c>
      <c r="B45" s="5" t="s">
        <v>78</v>
      </c>
      <c r="C45" s="6" t="s">
        <v>1828</v>
      </c>
      <c r="D45" s="6" t="s">
        <v>132</v>
      </c>
      <c r="E45" s="5" t="s">
        <v>1970</v>
      </c>
      <c r="F45" s="8" t="n">
        <v>0.5</v>
      </c>
      <c r="G45" s="6"/>
      <c r="H45" s="6" t="s">
        <v>311</v>
      </c>
      <c r="I45" s="6" t="s">
        <v>1988</v>
      </c>
      <c r="J45" s="8" t="n">
        <v>0.421</v>
      </c>
    </row>
    <row r="46" customFormat="false" ht="32.8" hidden="false" customHeight="false" outlineLevel="0" collapsed="false">
      <c r="A46" s="6" t="s">
        <v>1157</v>
      </c>
      <c r="B46" s="5" t="s">
        <v>78</v>
      </c>
      <c r="C46" s="6" t="s">
        <v>1158</v>
      </c>
      <c r="D46" s="6" t="s">
        <v>1163</v>
      </c>
      <c r="E46" s="6" t="s">
        <v>1973</v>
      </c>
      <c r="F46" s="8" t="n">
        <v>0.449</v>
      </c>
      <c r="G46" s="6" t="s">
        <v>1163</v>
      </c>
      <c r="H46" s="6" t="s">
        <v>1164</v>
      </c>
      <c r="I46" s="6" t="s">
        <v>1974</v>
      </c>
      <c r="J46" s="8" t="n">
        <v>0.349</v>
      </c>
    </row>
    <row r="47" customFormat="false" ht="17.15" hidden="false" customHeight="false" outlineLevel="0" collapsed="false">
      <c r="A47" s="6" t="s">
        <v>627</v>
      </c>
      <c r="B47" s="5" t="s">
        <v>78</v>
      </c>
      <c r="C47" s="5" t="s">
        <v>628</v>
      </c>
      <c r="D47" s="6" t="s">
        <v>633</v>
      </c>
      <c r="E47" s="5" t="s">
        <v>1967</v>
      </c>
      <c r="F47" s="8" t="n">
        <v>0.429</v>
      </c>
      <c r="G47" s="6" t="s">
        <v>633</v>
      </c>
      <c r="H47" s="6" t="s">
        <v>634</v>
      </c>
      <c r="I47" s="5" t="s">
        <v>1993</v>
      </c>
      <c r="J47" s="8" t="n">
        <v>0.24</v>
      </c>
    </row>
    <row r="48" customFormat="false" ht="32.8" hidden="false" customHeight="false" outlineLevel="0" collapsed="false">
      <c r="A48" s="6" t="s">
        <v>1511</v>
      </c>
      <c r="B48" s="5" t="s">
        <v>78</v>
      </c>
      <c r="C48" s="5" t="s">
        <v>1512</v>
      </c>
      <c r="D48" s="6" t="s">
        <v>1504</v>
      </c>
      <c r="E48" s="5" t="s">
        <v>1994</v>
      </c>
      <c r="F48" s="8" t="n">
        <v>0.409</v>
      </c>
      <c r="G48" s="6" t="s">
        <v>1504</v>
      </c>
      <c r="H48" s="6" t="s">
        <v>688</v>
      </c>
      <c r="I48" s="5" t="s">
        <v>1995</v>
      </c>
      <c r="J48" s="8" t="n">
        <v>0.222</v>
      </c>
    </row>
    <row r="49" customFormat="false" ht="32.8" hidden="false" customHeight="false" outlineLevel="0" collapsed="false">
      <c r="A49" s="6" t="s">
        <v>150</v>
      </c>
      <c r="B49" s="5" t="s">
        <v>78</v>
      </c>
      <c r="C49" s="5" t="s">
        <v>151</v>
      </c>
      <c r="D49" s="6" t="s">
        <v>156</v>
      </c>
      <c r="E49" s="5" t="s">
        <v>1996</v>
      </c>
      <c r="F49" s="8" t="n">
        <v>0.396</v>
      </c>
      <c r="G49" s="6" t="s">
        <v>156</v>
      </c>
      <c r="H49" s="6" t="s">
        <v>157</v>
      </c>
      <c r="I49" s="5" t="s">
        <v>1997</v>
      </c>
      <c r="J49" s="8" t="n">
        <v>0.173</v>
      </c>
    </row>
    <row r="50" customFormat="false" ht="17.15" hidden="false" customHeight="false" outlineLevel="0" collapsed="false">
      <c r="A50" s="6" t="s">
        <v>1636</v>
      </c>
      <c r="B50" s="5" t="s">
        <v>78</v>
      </c>
      <c r="C50" s="5" t="s">
        <v>1637</v>
      </c>
      <c r="D50" s="6" t="s">
        <v>1643</v>
      </c>
      <c r="E50" s="5" t="s">
        <v>1998</v>
      </c>
      <c r="F50" s="8" t="n">
        <v>0.387</v>
      </c>
      <c r="G50" s="6" t="s">
        <v>1643</v>
      </c>
      <c r="H50" s="6" t="s">
        <v>1644</v>
      </c>
      <c r="I50" s="5" t="s">
        <v>1999</v>
      </c>
      <c r="J50" s="8" t="n">
        <v>0.257</v>
      </c>
    </row>
    <row r="51" customFormat="false" ht="17.15" hidden="false" customHeight="false" outlineLevel="0" collapsed="false">
      <c r="A51" s="6" t="s">
        <v>472</v>
      </c>
      <c r="B51" s="5" t="s">
        <v>78</v>
      </c>
      <c r="C51" s="5" t="s">
        <v>473</v>
      </c>
      <c r="D51" s="6" t="s">
        <v>428</v>
      </c>
      <c r="E51" s="5" t="s">
        <v>2000</v>
      </c>
      <c r="F51" s="8" t="n">
        <v>0.375</v>
      </c>
      <c r="G51" s="6" t="s">
        <v>428</v>
      </c>
      <c r="H51" s="6" t="s">
        <v>416</v>
      </c>
      <c r="I51" s="6" t="s">
        <v>2001</v>
      </c>
      <c r="J51" s="8" t="n">
        <v>0.167</v>
      </c>
    </row>
    <row r="52" customFormat="false" ht="28.35" hidden="false" customHeight="false" outlineLevel="0" collapsed="false">
      <c r="A52" s="6" t="s">
        <v>1189</v>
      </c>
      <c r="B52" s="5" t="s">
        <v>78</v>
      </c>
      <c r="C52" s="5" t="s">
        <v>1190</v>
      </c>
      <c r="D52" s="6" t="s">
        <v>1196</v>
      </c>
      <c r="E52" s="5" t="s">
        <v>1951</v>
      </c>
      <c r="F52" s="8" t="n">
        <v>0.36</v>
      </c>
      <c r="G52" s="6" t="s">
        <v>1197</v>
      </c>
      <c r="H52" s="6" t="s">
        <v>1198</v>
      </c>
      <c r="I52" s="5" t="s">
        <v>1952</v>
      </c>
      <c r="J52" s="8" t="n">
        <v>0.207</v>
      </c>
    </row>
    <row r="53" customFormat="false" ht="32.8" hidden="false" customHeight="false" outlineLevel="0" collapsed="false">
      <c r="A53" s="6" t="s">
        <v>447</v>
      </c>
      <c r="B53" s="5" t="s">
        <v>78</v>
      </c>
      <c r="C53" s="5" t="s">
        <v>448</v>
      </c>
      <c r="D53" s="6" t="s">
        <v>422</v>
      </c>
      <c r="E53" s="5" t="s">
        <v>2002</v>
      </c>
      <c r="F53" s="8" t="n">
        <v>0.342</v>
      </c>
      <c r="G53" s="6" t="s">
        <v>422</v>
      </c>
      <c r="H53" s="6" t="s">
        <v>396</v>
      </c>
      <c r="I53" s="5" t="s">
        <v>2003</v>
      </c>
      <c r="J53" s="8" t="n">
        <v>0.167</v>
      </c>
    </row>
    <row r="54" customFormat="false" ht="17.15" hidden="false" customHeight="false" outlineLevel="0" collapsed="false">
      <c r="A54" s="6" t="s">
        <v>460</v>
      </c>
      <c r="B54" s="5" t="s">
        <v>78</v>
      </c>
      <c r="C54" s="5" t="s">
        <v>461</v>
      </c>
      <c r="D54" s="6" t="s">
        <v>408</v>
      </c>
      <c r="E54" s="5" t="s">
        <v>2004</v>
      </c>
      <c r="F54" s="8" t="n">
        <v>0.296</v>
      </c>
      <c r="G54" s="6" t="s">
        <v>408</v>
      </c>
      <c r="H54" s="6" t="s">
        <v>409</v>
      </c>
      <c r="I54" s="5" t="s">
        <v>2005</v>
      </c>
      <c r="J54" s="8" t="n">
        <v>0.121</v>
      </c>
    </row>
    <row r="55" customFormat="false" ht="28.35" hidden="false" customHeight="false" outlineLevel="0" collapsed="false">
      <c r="A55" s="6" t="s">
        <v>1566</v>
      </c>
      <c r="B55" s="5" t="s">
        <v>78</v>
      </c>
      <c r="C55" s="5" t="s">
        <v>1567</v>
      </c>
      <c r="D55" s="6" t="s">
        <v>1490</v>
      </c>
      <c r="E55" s="5" t="s">
        <v>2006</v>
      </c>
      <c r="F55" s="8" t="n">
        <v>0.244</v>
      </c>
      <c r="G55" s="6" t="s">
        <v>1573</v>
      </c>
      <c r="H55" s="6" t="s">
        <v>1574</v>
      </c>
      <c r="I55" s="5" t="s">
        <v>2007</v>
      </c>
      <c r="J55" s="8" t="n">
        <v>0.133</v>
      </c>
    </row>
    <row r="56" customFormat="false" ht="28.35" hidden="false" customHeight="false" outlineLevel="0" collapsed="false">
      <c r="A56" s="6" t="s">
        <v>1119</v>
      </c>
      <c r="B56" s="5" t="s">
        <v>78</v>
      </c>
      <c r="C56" s="5" t="s">
        <v>1120</v>
      </c>
      <c r="D56" s="6" t="s">
        <v>1127</v>
      </c>
      <c r="E56" s="5" t="s">
        <v>2008</v>
      </c>
      <c r="F56" s="8" t="n">
        <v>0.222</v>
      </c>
      <c r="G56" s="6" t="s">
        <v>1127</v>
      </c>
      <c r="H56" s="6" t="s">
        <v>1128</v>
      </c>
      <c r="I56" s="5" t="s">
        <v>2009</v>
      </c>
      <c r="J56" s="8" t="n">
        <v>0.077</v>
      </c>
    </row>
    <row r="57" customFormat="false" ht="17.15" hidden="false" customHeight="false" outlineLevel="0" collapsed="false">
      <c r="A57" s="6" t="s">
        <v>1139</v>
      </c>
      <c r="B57" s="5" t="s">
        <v>78</v>
      </c>
      <c r="C57" s="5" t="s">
        <v>1140</v>
      </c>
      <c r="D57" s="6" t="s">
        <v>1145</v>
      </c>
      <c r="E57" s="5" t="s">
        <v>2010</v>
      </c>
      <c r="F57" s="8" t="n">
        <v>0.171</v>
      </c>
      <c r="G57" s="6" t="s">
        <v>1145</v>
      </c>
      <c r="H57" s="6" t="s">
        <v>1137</v>
      </c>
      <c r="I57" s="5" t="s">
        <v>2011</v>
      </c>
      <c r="J57" s="8" t="n">
        <v>0.086</v>
      </c>
    </row>
    <row r="58" customFormat="false" ht="28.35" hidden="false" customHeight="false" outlineLevel="0" collapsed="false">
      <c r="A58" s="6" t="s">
        <v>1229</v>
      </c>
      <c r="B58" s="5" t="s">
        <v>78</v>
      </c>
      <c r="C58" s="5" t="s">
        <v>1230</v>
      </c>
      <c r="D58" s="6" t="s">
        <v>1235</v>
      </c>
      <c r="E58" s="5" t="s">
        <v>2012</v>
      </c>
      <c r="F58" s="8" t="n">
        <v>0.162</v>
      </c>
      <c r="G58" s="6" t="s">
        <v>1235</v>
      </c>
      <c r="H58" s="6" t="s">
        <v>188</v>
      </c>
      <c r="I58" s="5" t="s">
        <v>2013</v>
      </c>
      <c r="J58" s="8" t="n">
        <v>0.167</v>
      </c>
    </row>
    <row r="59" customFormat="false" ht="17.15" hidden="false" customHeight="false" outlineLevel="0" collapsed="false">
      <c r="A59" s="6" t="s">
        <v>1130</v>
      </c>
      <c r="B59" s="5" t="s">
        <v>78</v>
      </c>
      <c r="C59" s="5" t="s">
        <v>1131</v>
      </c>
      <c r="D59" s="6" t="s">
        <v>1136</v>
      </c>
      <c r="E59" s="5" t="s">
        <v>2014</v>
      </c>
      <c r="F59" s="8" t="n">
        <v>0.1</v>
      </c>
      <c r="G59" s="6" t="s">
        <v>1136</v>
      </c>
      <c r="H59" s="6" t="s">
        <v>1137</v>
      </c>
      <c r="I59" s="5" t="s">
        <v>2011</v>
      </c>
      <c r="J59" s="8" t="n">
        <v>0.091</v>
      </c>
    </row>
    <row r="60" customFormat="false" ht="17.15" hidden="false" customHeight="false" outlineLevel="0" collapsed="false">
      <c r="A60" s="6" t="s">
        <v>1475</v>
      </c>
      <c r="B60" s="5" t="s">
        <v>625</v>
      </c>
      <c r="C60" s="5" t="s">
        <v>1476</v>
      </c>
      <c r="D60" s="6" t="s">
        <v>1480</v>
      </c>
      <c r="E60" s="5" t="s">
        <v>1977</v>
      </c>
      <c r="F60" s="8" t="n">
        <v>0.786</v>
      </c>
      <c r="G60" s="6"/>
      <c r="H60" s="6" t="s">
        <v>1481</v>
      </c>
      <c r="I60" s="5" t="s">
        <v>1978</v>
      </c>
      <c r="J60" s="8" t="n">
        <v>0.5</v>
      </c>
    </row>
    <row r="61" customFormat="false" ht="17.15" hidden="false" customHeight="false" outlineLevel="0" collapsed="false">
      <c r="A61" s="6" t="s">
        <v>616</v>
      </c>
      <c r="B61" s="5" t="s">
        <v>625</v>
      </c>
      <c r="C61" s="5" t="s">
        <v>617</v>
      </c>
      <c r="D61" s="6" t="s">
        <v>623</v>
      </c>
      <c r="E61" s="5" t="s">
        <v>2015</v>
      </c>
      <c r="F61" s="8" t="n">
        <v>0.625</v>
      </c>
      <c r="G61" s="6"/>
      <c r="H61" s="6" t="s">
        <v>624</v>
      </c>
      <c r="I61" s="5" t="s">
        <v>1938</v>
      </c>
      <c r="J61" s="8" t="n">
        <v>0.857</v>
      </c>
    </row>
    <row r="62" customFormat="false" ht="17.15" hidden="false" customHeight="false" outlineLevel="0" collapsed="false">
      <c r="A62" s="6" t="s">
        <v>952</v>
      </c>
      <c r="B62" s="5" t="s">
        <v>625</v>
      </c>
      <c r="C62" s="5" t="s">
        <v>953</v>
      </c>
      <c r="D62" s="6" t="s">
        <v>898</v>
      </c>
      <c r="E62" s="5" t="s">
        <v>2016</v>
      </c>
      <c r="F62" s="8" t="n">
        <v>0.588</v>
      </c>
      <c r="G62" s="6"/>
      <c r="H62" s="6" t="s">
        <v>899</v>
      </c>
      <c r="I62" s="5" t="s">
        <v>2017</v>
      </c>
      <c r="J62" s="8" t="n">
        <v>0.529</v>
      </c>
    </row>
    <row r="63" customFormat="false" ht="48.5" hidden="false" customHeight="false" outlineLevel="0" collapsed="false">
      <c r="A63" s="6" t="s">
        <v>1259</v>
      </c>
      <c r="B63" s="5" t="s">
        <v>625</v>
      </c>
      <c r="C63" s="6" t="s">
        <v>1260</v>
      </c>
      <c r="D63" s="6" t="s">
        <v>1163</v>
      </c>
      <c r="E63" s="6" t="s">
        <v>1973</v>
      </c>
      <c r="F63" s="8" t="n">
        <v>0.423</v>
      </c>
      <c r="G63" s="6"/>
      <c r="H63" s="6" t="s">
        <v>1164</v>
      </c>
      <c r="I63" s="6" t="s">
        <v>1974</v>
      </c>
      <c r="J63" s="8" t="n">
        <v>0.513</v>
      </c>
    </row>
    <row r="64" customFormat="false" ht="28.35" hidden="false" customHeight="false" outlineLevel="0" collapsed="false">
      <c r="A64" s="6" t="s">
        <v>1843</v>
      </c>
      <c r="B64" s="5" t="s">
        <v>625</v>
      </c>
      <c r="C64" s="6" t="s">
        <v>1844</v>
      </c>
      <c r="D64" s="6" t="s">
        <v>100</v>
      </c>
      <c r="E64" s="5" t="s">
        <v>1953</v>
      </c>
      <c r="F64" s="8" t="n">
        <v>0.419</v>
      </c>
      <c r="G64" s="6"/>
      <c r="H64" s="6" t="s">
        <v>311</v>
      </c>
      <c r="I64" s="6" t="s">
        <v>1988</v>
      </c>
      <c r="J64" s="8" t="n">
        <v>0.556</v>
      </c>
    </row>
  </sheetData>
  <autoFilter ref="A1:J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4" min="3" style="1" width="60"/>
    <col collapsed="false" customWidth="true" hidden="false" outlineLevel="0" max="5" min="5" style="1" width="70"/>
  </cols>
  <sheetData>
    <row r="1" customFormat="false" ht="17.15" hidden="false" customHeight="false" outlineLevel="0" collapsed="false">
      <c r="A1" s="2" t="s">
        <v>1</v>
      </c>
      <c r="B1" s="2" t="s">
        <v>2018</v>
      </c>
      <c r="C1" s="2" t="s">
        <v>2019</v>
      </c>
      <c r="D1" s="2" t="s">
        <v>2020</v>
      </c>
      <c r="E1" s="2" t="s">
        <v>2021</v>
      </c>
    </row>
    <row r="2" customFormat="false" ht="32.8" hidden="false" customHeight="false" outlineLevel="0" collapsed="false">
      <c r="A2" s="6" t="s">
        <v>1357</v>
      </c>
      <c r="B2" s="5" t="s">
        <v>2</v>
      </c>
      <c r="C2" s="5" t="s">
        <v>2022</v>
      </c>
      <c r="D2" s="5" t="s">
        <v>1358</v>
      </c>
      <c r="E2" s="5" t="s">
        <v>2023</v>
      </c>
    </row>
    <row r="3" customFormat="false" ht="32.8" hidden="false" customHeight="false" outlineLevel="0" collapsed="false">
      <c r="A3" s="6" t="s">
        <v>1366</v>
      </c>
      <c r="B3" s="5" t="s">
        <v>2</v>
      </c>
      <c r="C3" s="5" t="s">
        <v>2024</v>
      </c>
      <c r="D3" s="5" t="s">
        <v>1367</v>
      </c>
      <c r="E3" s="5" t="s">
        <v>2025</v>
      </c>
    </row>
    <row r="4" customFormat="false" ht="17.15" hidden="false" customHeight="false" outlineLevel="0" collapsed="false">
      <c r="A4" s="6" t="s">
        <v>257</v>
      </c>
      <c r="B4" s="5" t="s">
        <v>2</v>
      </c>
      <c r="C4" s="5" t="s">
        <v>2026</v>
      </c>
      <c r="D4" s="5" t="s">
        <v>258</v>
      </c>
      <c r="E4" s="5" t="s">
        <v>2027</v>
      </c>
    </row>
    <row r="5" customFormat="false" ht="44" hidden="false" customHeight="false" outlineLevel="0" collapsed="false">
      <c r="A5" s="6" t="s">
        <v>257</v>
      </c>
      <c r="B5" s="5" t="s">
        <v>2028</v>
      </c>
      <c r="C5" s="6" t="s">
        <v>2029</v>
      </c>
      <c r="D5" s="6" t="s">
        <v>259</v>
      </c>
      <c r="E5" s="6" t="s">
        <v>2030</v>
      </c>
    </row>
    <row r="6" customFormat="false" ht="30.55" hidden="false" customHeight="false" outlineLevel="0" collapsed="false">
      <c r="A6" s="6" t="s">
        <v>257</v>
      </c>
      <c r="B6" s="6" t="s">
        <v>9</v>
      </c>
      <c r="C6" s="6" t="s">
        <v>2031</v>
      </c>
      <c r="D6" s="6" t="s">
        <v>260</v>
      </c>
      <c r="E6" s="6" t="s">
        <v>2030</v>
      </c>
    </row>
    <row r="7" customFormat="false" ht="32.8" hidden="false" customHeight="false" outlineLevel="0" collapsed="false">
      <c r="A7" s="6" t="s">
        <v>1760</v>
      </c>
      <c r="B7" s="5" t="s">
        <v>8</v>
      </c>
      <c r="C7" s="6" t="s">
        <v>142</v>
      </c>
      <c r="D7" s="6" t="s">
        <v>28</v>
      </c>
      <c r="E7" s="6" t="s">
        <v>2032</v>
      </c>
    </row>
    <row r="8" customFormat="false" ht="32.8" hidden="false" customHeight="false" outlineLevel="0" collapsed="false">
      <c r="A8" s="6" t="s">
        <v>1768</v>
      </c>
      <c r="B8" s="5" t="s">
        <v>8</v>
      </c>
      <c r="C8" s="6" t="s">
        <v>142</v>
      </c>
      <c r="D8" s="6" t="s">
        <v>28</v>
      </c>
      <c r="E8" s="6" t="s">
        <v>2032</v>
      </c>
    </row>
    <row r="9" customFormat="false" ht="32.8" hidden="false" customHeight="false" outlineLevel="0" collapsed="false">
      <c r="A9" s="6" t="s">
        <v>1773</v>
      </c>
      <c r="B9" s="5" t="s">
        <v>8</v>
      </c>
      <c r="C9" s="6" t="s">
        <v>142</v>
      </c>
      <c r="D9" s="6" t="s">
        <v>28</v>
      </c>
      <c r="E9" s="6" t="s">
        <v>2032</v>
      </c>
    </row>
    <row r="10" customFormat="false" ht="32.8" hidden="false" customHeight="false" outlineLevel="0" collapsed="false">
      <c r="A10" s="6" t="s">
        <v>1778</v>
      </c>
      <c r="B10" s="5" t="s">
        <v>8</v>
      </c>
      <c r="C10" s="6" t="s">
        <v>142</v>
      </c>
      <c r="D10" s="6" t="s">
        <v>28</v>
      </c>
      <c r="E10" s="6" t="s">
        <v>2032</v>
      </c>
    </row>
    <row r="11" customFormat="false" ht="32.8" hidden="false" customHeight="false" outlineLevel="0" collapsed="false">
      <c r="A11" s="6" t="s">
        <v>1781</v>
      </c>
      <c r="B11" s="5" t="s">
        <v>8</v>
      </c>
      <c r="C11" s="6" t="s">
        <v>142</v>
      </c>
      <c r="D11" s="6" t="s">
        <v>28</v>
      </c>
      <c r="E11" s="6" t="s">
        <v>2032</v>
      </c>
    </row>
    <row r="12" customFormat="false" ht="32.8" hidden="false" customHeight="false" outlineLevel="0" collapsed="false">
      <c r="A12" s="6" t="s">
        <v>1784</v>
      </c>
      <c r="B12" s="5" t="s">
        <v>8</v>
      </c>
      <c r="C12" s="6" t="s">
        <v>142</v>
      </c>
      <c r="D12" s="6" t="s">
        <v>28</v>
      </c>
      <c r="E12" s="6" t="s">
        <v>2032</v>
      </c>
    </row>
    <row r="13" customFormat="false" ht="32.8" hidden="false" customHeight="false" outlineLevel="0" collapsed="false">
      <c r="A13" s="6" t="s">
        <v>1787</v>
      </c>
      <c r="B13" s="5" t="s">
        <v>8</v>
      </c>
      <c r="C13" s="6" t="s">
        <v>142</v>
      </c>
      <c r="D13" s="6" t="s">
        <v>28</v>
      </c>
      <c r="E13" s="6" t="s">
        <v>2032</v>
      </c>
    </row>
    <row r="14" customFormat="false" ht="32.8" hidden="false" customHeight="false" outlineLevel="0" collapsed="false">
      <c r="A14" s="6" t="s">
        <v>1792</v>
      </c>
      <c r="B14" s="5" t="s">
        <v>8</v>
      </c>
      <c r="C14" s="6" t="s">
        <v>142</v>
      </c>
      <c r="D14" s="6" t="s">
        <v>28</v>
      </c>
      <c r="E14" s="6" t="s">
        <v>2032</v>
      </c>
    </row>
    <row r="15" customFormat="false" ht="32.8" hidden="false" customHeight="false" outlineLevel="0" collapsed="false">
      <c r="A15" s="6" t="s">
        <v>1795</v>
      </c>
      <c r="B15" s="5" t="s">
        <v>8</v>
      </c>
      <c r="C15" s="6" t="s">
        <v>142</v>
      </c>
      <c r="D15" s="6" t="s">
        <v>28</v>
      </c>
      <c r="E15" s="6" t="s">
        <v>2032</v>
      </c>
    </row>
    <row r="16" customFormat="false" ht="32.8" hidden="false" customHeight="false" outlineLevel="0" collapsed="false">
      <c r="A16" s="6" t="s">
        <v>1798</v>
      </c>
      <c r="B16" s="5" t="s">
        <v>8</v>
      </c>
      <c r="C16" s="6" t="s">
        <v>142</v>
      </c>
      <c r="D16" s="6" t="s">
        <v>28</v>
      </c>
      <c r="E16" s="6" t="s">
        <v>2032</v>
      </c>
    </row>
    <row r="17" customFormat="false" ht="32.8" hidden="false" customHeight="false" outlineLevel="0" collapsed="false">
      <c r="A17" s="6" t="s">
        <v>1801</v>
      </c>
      <c r="B17" s="5" t="s">
        <v>8</v>
      </c>
      <c r="C17" s="6" t="s">
        <v>142</v>
      </c>
      <c r="D17" s="6" t="s">
        <v>28</v>
      </c>
      <c r="E17" s="6" t="s">
        <v>2032</v>
      </c>
    </row>
    <row r="18" customFormat="false" ht="32.8" hidden="false" customHeight="false" outlineLevel="0" collapsed="false">
      <c r="A18" s="6" t="s">
        <v>1806</v>
      </c>
      <c r="B18" s="5" t="s">
        <v>8</v>
      </c>
      <c r="C18" s="6" t="s">
        <v>142</v>
      </c>
      <c r="D18" s="6" t="s">
        <v>28</v>
      </c>
      <c r="E18" s="6" t="s">
        <v>2032</v>
      </c>
    </row>
    <row r="19" customFormat="false" ht="32.8" hidden="false" customHeight="false" outlineLevel="0" collapsed="false">
      <c r="A19" s="6" t="s">
        <v>1809</v>
      </c>
      <c r="B19" s="5" t="s">
        <v>8</v>
      </c>
      <c r="C19" s="6" t="s">
        <v>142</v>
      </c>
      <c r="D19" s="6" t="s">
        <v>28</v>
      </c>
      <c r="E19" s="6" t="s">
        <v>2032</v>
      </c>
    </row>
    <row r="20" customFormat="false" ht="32.8" hidden="false" customHeight="false" outlineLevel="0" collapsed="false">
      <c r="A20" s="6" t="s">
        <v>1812</v>
      </c>
      <c r="B20" s="5" t="s">
        <v>8</v>
      </c>
      <c r="C20" s="6" t="s">
        <v>142</v>
      </c>
      <c r="D20" s="6" t="s">
        <v>28</v>
      </c>
      <c r="E20" s="6" t="s">
        <v>2032</v>
      </c>
    </row>
    <row r="21" customFormat="false" ht="32.8" hidden="false" customHeight="false" outlineLevel="0" collapsed="false">
      <c r="A21" s="6" t="s">
        <v>1815</v>
      </c>
      <c r="B21" s="5" t="s">
        <v>8</v>
      </c>
      <c r="C21" s="6" t="s">
        <v>142</v>
      </c>
      <c r="D21" s="6" t="s">
        <v>28</v>
      </c>
      <c r="E21" s="6" t="s">
        <v>2032</v>
      </c>
    </row>
    <row r="22" customFormat="false" ht="32.8" hidden="false" customHeight="false" outlineLevel="0" collapsed="false">
      <c r="A22" s="6" t="s">
        <v>1818</v>
      </c>
      <c r="B22" s="5" t="s">
        <v>8</v>
      </c>
      <c r="C22" s="6" t="s">
        <v>142</v>
      </c>
      <c r="D22" s="6" t="s">
        <v>28</v>
      </c>
      <c r="E22" s="6" t="s">
        <v>2032</v>
      </c>
    </row>
    <row r="23" customFormat="false" ht="32.8" hidden="false" customHeight="false" outlineLevel="0" collapsed="false">
      <c r="A23" s="6" t="s">
        <v>1821</v>
      </c>
      <c r="B23" s="5" t="s">
        <v>8</v>
      </c>
      <c r="C23" s="6" t="s">
        <v>142</v>
      </c>
      <c r="D23" s="6" t="s">
        <v>28</v>
      </c>
      <c r="E23" s="6" t="s">
        <v>2032</v>
      </c>
    </row>
    <row r="24" customFormat="false" ht="32.8" hidden="false" customHeight="false" outlineLevel="0" collapsed="false">
      <c r="A24" s="6" t="s">
        <v>1824</v>
      </c>
      <c r="B24" s="5" t="s">
        <v>8</v>
      </c>
      <c r="C24" s="6" t="s">
        <v>142</v>
      </c>
      <c r="D24" s="6" t="s">
        <v>28</v>
      </c>
      <c r="E24" s="6" t="s">
        <v>2032</v>
      </c>
    </row>
    <row r="25" customFormat="false" ht="32.8" hidden="false" customHeight="false" outlineLevel="0" collapsed="false">
      <c r="A25" s="6" t="s">
        <v>1827</v>
      </c>
      <c r="B25" s="5" t="s">
        <v>8</v>
      </c>
      <c r="C25" s="6" t="s">
        <v>267</v>
      </c>
      <c r="D25" s="6" t="s">
        <v>28</v>
      </c>
      <c r="E25" s="6" t="s">
        <v>2032</v>
      </c>
    </row>
    <row r="26" customFormat="false" ht="32.8" hidden="false" customHeight="false" outlineLevel="0" collapsed="false">
      <c r="A26" s="6" t="s">
        <v>1831</v>
      </c>
      <c r="B26" s="5" t="s">
        <v>8</v>
      </c>
      <c r="C26" s="6" t="s">
        <v>267</v>
      </c>
      <c r="D26" s="6" t="s">
        <v>28</v>
      </c>
      <c r="E26" s="6" t="s">
        <v>2032</v>
      </c>
    </row>
    <row r="27" customFormat="false" ht="32.8" hidden="false" customHeight="false" outlineLevel="0" collapsed="false">
      <c r="A27" s="6" t="s">
        <v>1834</v>
      </c>
      <c r="B27" s="5" t="s">
        <v>8</v>
      </c>
      <c r="C27" s="6" t="s">
        <v>267</v>
      </c>
      <c r="D27" s="6" t="s">
        <v>28</v>
      </c>
      <c r="E27" s="6" t="s">
        <v>2032</v>
      </c>
    </row>
    <row r="28" customFormat="false" ht="32.8" hidden="false" customHeight="false" outlineLevel="0" collapsed="false">
      <c r="A28" s="6" t="s">
        <v>1837</v>
      </c>
      <c r="B28" s="5" t="s">
        <v>8</v>
      </c>
      <c r="C28" s="6" t="s">
        <v>267</v>
      </c>
      <c r="D28" s="6" t="s">
        <v>28</v>
      </c>
      <c r="E28" s="6" t="s">
        <v>2032</v>
      </c>
    </row>
    <row r="29" customFormat="false" ht="32.8" hidden="false" customHeight="false" outlineLevel="0" collapsed="false">
      <c r="A29" s="6" t="s">
        <v>1840</v>
      </c>
      <c r="B29" s="5" t="s">
        <v>8</v>
      </c>
      <c r="C29" s="6" t="s">
        <v>267</v>
      </c>
      <c r="D29" s="6" t="s">
        <v>28</v>
      </c>
      <c r="E29" s="6" t="s">
        <v>2032</v>
      </c>
    </row>
    <row r="30" customFormat="false" ht="32.8" hidden="false" customHeight="false" outlineLevel="0" collapsed="false">
      <c r="A30" s="6" t="s">
        <v>1843</v>
      </c>
      <c r="B30" s="5" t="s">
        <v>8</v>
      </c>
      <c r="C30" s="6" t="s">
        <v>267</v>
      </c>
      <c r="D30" s="6" t="s">
        <v>28</v>
      </c>
      <c r="E30" s="6" t="s">
        <v>2032</v>
      </c>
    </row>
    <row r="31" customFormat="false" ht="32.8" hidden="false" customHeight="false" outlineLevel="0" collapsed="false">
      <c r="A31" s="6" t="s">
        <v>1847</v>
      </c>
      <c r="B31" s="5" t="s">
        <v>8</v>
      </c>
      <c r="C31" s="6" t="s">
        <v>267</v>
      </c>
      <c r="D31" s="6" t="s">
        <v>28</v>
      </c>
      <c r="E31" s="6" t="s">
        <v>2032</v>
      </c>
    </row>
    <row r="32" customFormat="false" ht="32.8" hidden="false" customHeight="false" outlineLevel="0" collapsed="false">
      <c r="A32" s="6" t="s">
        <v>1850</v>
      </c>
      <c r="B32" s="5" t="s">
        <v>8</v>
      </c>
      <c r="C32" s="6" t="s">
        <v>267</v>
      </c>
      <c r="D32" s="6" t="s">
        <v>28</v>
      </c>
      <c r="E32" s="6" t="s">
        <v>2032</v>
      </c>
    </row>
    <row r="33" customFormat="false" ht="32.8" hidden="false" customHeight="false" outlineLevel="0" collapsed="false">
      <c r="A33" s="6" t="s">
        <v>1853</v>
      </c>
      <c r="B33" s="5" t="s">
        <v>8</v>
      </c>
      <c r="C33" s="6" t="s">
        <v>267</v>
      </c>
      <c r="D33" s="6" t="s">
        <v>28</v>
      </c>
      <c r="E33" s="6" t="s">
        <v>2032</v>
      </c>
    </row>
    <row r="34" customFormat="false" ht="32.8" hidden="false" customHeight="false" outlineLevel="0" collapsed="false">
      <c r="A34" s="6" t="s">
        <v>1857</v>
      </c>
      <c r="B34" s="5" t="s">
        <v>8</v>
      </c>
      <c r="C34" s="6" t="s">
        <v>267</v>
      </c>
      <c r="D34" s="6" t="s">
        <v>28</v>
      </c>
      <c r="E34" s="6" t="s">
        <v>2032</v>
      </c>
    </row>
    <row r="35" customFormat="false" ht="32.8" hidden="false" customHeight="false" outlineLevel="0" collapsed="false">
      <c r="A35" s="6" t="s">
        <v>1861</v>
      </c>
      <c r="B35" s="5" t="s">
        <v>8</v>
      </c>
      <c r="C35" s="6" t="s">
        <v>267</v>
      </c>
      <c r="D35" s="6" t="s">
        <v>28</v>
      </c>
      <c r="E35" s="6" t="s">
        <v>2032</v>
      </c>
    </row>
    <row r="36" customFormat="false" ht="32.8" hidden="false" customHeight="false" outlineLevel="0" collapsed="false">
      <c r="A36" s="6" t="s">
        <v>1864</v>
      </c>
      <c r="B36" s="5" t="s">
        <v>8</v>
      </c>
      <c r="C36" s="6" t="s">
        <v>267</v>
      </c>
      <c r="D36" s="6" t="s">
        <v>28</v>
      </c>
      <c r="E36" s="6" t="s">
        <v>2032</v>
      </c>
    </row>
    <row r="37" customFormat="false" ht="17.15" hidden="false" customHeight="false" outlineLevel="0" collapsed="false">
      <c r="A37" s="6" t="s">
        <v>2033</v>
      </c>
      <c r="B37" s="6" t="s">
        <v>2034</v>
      </c>
      <c r="C37" s="5" t="s">
        <v>2035</v>
      </c>
      <c r="D37" s="5" t="s">
        <v>2036</v>
      </c>
      <c r="E37" s="6" t="s">
        <v>2037</v>
      </c>
    </row>
    <row r="38" customFormat="false" ht="17.15" hidden="false" customHeight="false" outlineLevel="0" collapsed="false">
      <c r="A38" s="6" t="s">
        <v>2033</v>
      </c>
      <c r="B38" s="5" t="s">
        <v>2038</v>
      </c>
      <c r="C38" s="5" t="s">
        <v>2039</v>
      </c>
      <c r="D38" s="5" t="s">
        <v>2040</v>
      </c>
      <c r="E38" s="5" t="s">
        <v>2041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6"/>
    <col collapsed="false" customWidth="true" hidden="false" outlineLevel="0" max="3" min="3" style="1" width="60"/>
    <col collapsed="false" customWidth="true" hidden="false" outlineLevel="0" max="4" min="4" style="1" width="50"/>
  </cols>
  <sheetData>
    <row r="1" customFormat="false" ht="17.15" hidden="false" customHeight="false" outlineLevel="0" collapsed="false">
      <c r="A1" s="2" t="s">
        <v>2042</v>
      </c>
      <c r="B1" s="3" t="s">
        <v>2043</v>
      </c>
      <c r="C1" s="2" t="s">
        <v>2044</v>
      </c>
      <c r="D1" s="2" t="s">
        <v>2045</v>
      </c>
    </row>
    <row r="2" customFormat="false" ht="32.8" hidden="false" customHeight="false" outlineLevel="0" collapsed="false">
      <c r="A2" s="6" t="s">
        <v>2046</v>
      </c>
      <c r="B2" s="6" t="s">
        <v>2047</v>
      </c>
      <c r="C2" s="6" t="s">
        <v>2048</v>
      </c>
      <c r="D2" s="6" t="s">
        <v>2049</v>
      </c>
    </row>
    <row r="3" customFormat="false" ht="48.5" hidden="false" customHeight="false" outlineLevel="0" collapsed="false">
      <c r="A3" s="6" t="s">
        <v>2050</v>
      </c>
      <c r="B3" s="6" t="s">
        <v>2051</v>
      </c>
      <c r="C3" s="6" t="s">
        <v>2052</v>
      </c>
      <c r="D3" s="6" t="s">
        <v>2053</v>
      </c>
    </row>
    <row r="4" customFormat="false" ht="32.8" hidden="false" customHeight="false" outlineLevel="0" collapsed="false">
      <c r="A4" s="5" t="s">
        <v>2054</v>
      </c>
      <c r="B4" s="6" t="s">
        <v>2055</v>
      </c>
      <c r="C4" s="6" t="s">
        <v>2056</v>
      </c>
      <c r="D4" s="5" t="s">
        <v>2057</v>
      </c>
    </row>
    <row r="5" customFormat="false" ht="32.8" hidden="false" customHeight="false" outlineLevel="0" collapsed="false">
      <c r="A5" s="6" t="s">
        <v>2058</v>
      </c>
      <c r="B5" s="6" t="s">
        <v>2059</v>
      </c>
      <c r="C5" s="6" t="s">
        <v>2060</v>
      </c>
      <c r="D5" s="6" t="s">
        <v>2061</v>
      </c>
    </row>
    <row r="6" customFormat="false" ht="32.8" hidden="false" customHeight="false" outlineLevel="0" collapsed="false">
      <c r="A6" s="6" t="s">
        <v>2062</v>
      </c>
      <c r="B6" s="6" t="s">
        <v>2063</v>
      </c>
      <c r="C6" s="6" t="s">
        <v>2064</v>
      </c>
      <c r="D6" s="6" t="s">
        <v>2065</v>
      </c>
    </row>
    <row r="7" customFormat="false" ht="32.8" hidden="false" customHeight="false" outlineLevel="0" collapsed="false">
      <c r="A7" s="6" t="s">
        <v>2066</v>
      </c>
      <c r="B7" s="5" t="s">
        <v>2067</v>
      </c>
      <c r="C7" s="6" t="s">
        <v>2068</v>
      </c>
      <c r="D7" s="5" t="s">
        <v>2069</v>
      </c>
    </row>
    <row r="8" customFormat="false" ht="32.8" hidden="false" customHeight="false" outlineLevel="0" collapsed="false">
      <c r="A8" s="6" t="s">
        <v>2070</v>
      </c>
      <c r="B8" s="6" t="s">
        <v>2071</v>
      </c>
      <c r="C8" s="5" t="s">
        <v>2072</v>
      </c>
      <c r="D8" s="6" t="s">
        <v>2073</v>
      </c>
    </row>
    <row r="9" customFormat="false" ht="32.8" hidden="false" customHeight="false" outlineLevel="0" collapsed="false">
      <c r="A9" s="6" t="s">
        <v>2074</v>
      </c>
      <c r="B9" s="6" t="s">
        <v>2075</v>
      </c>
      <c r="C9" s="6" t="s">
        <v>2076</v>
      </c>
      <c r="D9" s="5" t="s">
        <v>2077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2026-10-15T05:31:43Z</dcterms:created>
  <dc:creator>openpyxl</dc:creator>
  <dc:description/>
  <dc:language>en-US</dc:language>
  <cp:lastModifiedBy>김형우</cp:lastModifiedBy>
  <dcterms:modified xsi:type="dcterms:W3CDTF">2026-10-15T05:31:44Z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